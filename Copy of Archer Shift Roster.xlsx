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timindtree-my.sharepoint.com/personal/shourjo_10743365_ltimindtree_com/Documents/Desktop/"/>
    </mc:Choice>
  </mc:AlternateContent>
  <xr:revisionPtr revIDLastSave="0" documentId="8_{818EEA28-7EC0-4D1A-8D8D-61121A08DCD1}" xr6:coauthVersionLast="47" xr6:coauthVersionMax="47" xr10:uidLastSave="{00000000-0000-0000-0000-000000000000}"/>
  <bookViews>
    <workbookView xWindow="-108" yWindow="-108" windowWidth="23256" windowHeight="13896" tabRatio="762" activeTab="5" xr2:uid="{00000000-000D-0000-FFFF-FFFF00000000}"/>
  </bookViews>
  <sheets>
    <sheet name="Sep 25" sheetId="1" r:id="rId1"/>
    <sheet name="Oct 25" sheetId="2" r:id="rId2"/>
    <sheet name="Nov 25" sheetId="3" r:id="rId3"/>
    <sheet name="Dec 25" sheetId="4" r:id="rId4"/>
    <sheet name="Jan 26" sheetId="7" r:id="rId5"/>
    <sheet name="Feb 26" sheetId="8" r:id="rId6"/>
    <sheet name="Comp off" sheetId="6" r:id="rId7"/>
  </sheets>
  <definedNames>
    <definedName name="_xlnm._FilterDatabase" localSheetId="6" hidden="1">'Comp off'!$A$1:$E$57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8" l="1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F20" i="8"/>
  <c r="G20" i="8"/>
  <c r="H20" i="8"/>
  <c r="F21" i="8"/>
  <c r="G21" i="8"/>
  <c r="H21" i="8"/>
  <c r="F22" i="8"/>
  <c r="G22" i="8"/>
  <c r="H22" i="8"/>
  <c r="D20" i="8"/>
  <c r="E20" i="8"/>
  <c r="D21" i="8"/>
  <c r="E21" i="8"/>
  <c r="D22" i="8"/>
  <c r="E22" i="8"/>
  <c r="C22" i="8"/>
  <c r="C21" i="8"/>
  <c r="C20" i="8"/>
  <c r="J15" i="6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C23" i="7"/>
  <c r="C22" i="7"/>
  <c r="C21" i="7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C22" i="4"/>
  <c r="C21" i="4"/>
  <c r="C20" i="4"/>
  <c r="J11" i="6"/>
  <c r="J6" i="6"/>
  <c r="J7" i="6"/>
  <c r="J8" i="6"/>
  <c r="J9" i="6"/>
  <c r="J10" i="6"/>
  <c r="J12" i="6"/>
  <c r="J13" i="6"/>
  <c r="J14" i="6"/>
  <c r="J5" i="6"/>
</calcChain>
</file>

<file path=xl/sharedStrings.xml><?xml version="1.0" encoding="utf-8"?>
<sst xmlns="http://schemas.openxmlformats.org/spreadsheetml/2006/main" count="3084" uniqueCount="111">
  <si>
    <t>Sep'25</t>
  </si>
  <si>
    <t xml:space="preserve">Resource </t>
  </si>
  <si>
    <t xml:space="preserve">Location </t>
  </si>
  <si>
    <t>Mon</t>
  </si>
  <si>
    <t>Tue</t>
  </si>
  <si>
    <t>Wed</t>
  </si>
  <si>
    <t>Thu</t>
  </si>
  <si>
    <t>Fri</t>
  </si>
  <si>
    <t>Sat</t>
  </si>
  <si>
    <t>Sun</t>
  </si>
  <si>
    <t>Harshavardhan Naidu</t>
  </si>
  <si>
    <t>Onshore (US)</t>
  </si>
  <si>
    <t>OG</t>
  </si>
  <si>
    <t>WO</t>
  </si>
  <si>
    <t>Shift</t>
  </si>
  <si>
    <t>Timing</t>
  </si>
  <si>
    <t>Code</t>
  </si>
  <si>
    <t>G Poornima</t>
  </si>
  <si>
    <t>Offshore (IN)</t>
  </si>
  <si>
    <t>N</t>
  </si>
  <si>
    <t>US General (EST)</t>
  </si>
  <si>
    <t>9 am - 6pm EST</t>
  </si>
  <si>
    <t>Suraj Nalage</t>
  </si>
  <si>
    <t>US Morning (EST)</t>
  </si>
  <si>
    <t>07:00 am - 04:00pm EST</t>
  </si>
  <si>
    <t>OM</t>
  </si>
  <si>
    <t>Vemula, Nagarani</t>
  </si>
  <si>
    <t>SOC</t>
  </si>
  <si>
    <t>US Noon (EST)</t>
  </si>
  <si>
    <t>12:00 pm - 9pm</t>
  </si>
  <si>
    <t>ON</t>
  </si>
  <si>
    <t>Prajakta Jadhav</t>
  </si>
  <si>
    <t>Morning (IST)</t>
  </si>
  <si>
    <t>6:00 am - 3:00 pm</t>
  </si>
  <si>
    <t>M</t>
  </si>
  <si>
    <t>Balaji Sekar</t>
  </si>
  <si>
    <t>PTO</t>
  </si>
  <si>
    <t>Noon (IST)</t>
  </si>
  <si>
    <t>2:00pm - 11:00 pm</t>
  </si>
  <si>
    <t>Inchara GP</t>
  </si>
  <si>
    <t>Night (IST)</t>
  </si>
  <si>
    <t>10:00pm - 7:00am</t>
  </si>
  <si>
    <t>NT</t>
  </si>
  <si>
    <t>Ritesh Katwe</t>
  </si>
  <si>
    <t>Manav Mandhane</t>
  </si>
  <si>
    <t>Pratik Patil</t>
  </si>
  <si>
    <t>POC</t>
  </si>
  <si>
    <t xml:space="preserve">Primary On Call </t>
  </si>
  <si>
    <t xml:space="preserve">Morning 6 am to 6pm IST </t>
  </si>
  <si>
    <t>Debadrit Ray</t>
  </si>
  <si>
    <t xml:space="preserve">Secondary On Call </t>
  </si>
  <si>
    <t>Morning 6 am to 6pm EST</t>
  </si>
  <si>
    <t>Rahi Yadav</t>
  </si>
  <si>
    <t xml:space="preserve">Week off </t>
  </si>
  <si>
    <t>Shourjo Banerjee</t>
  </si>
  <si>
    <t xml:space="preserve">Paid Time Off </t>
  </si>
  <si>
    <t>Do not update shift until further notice from Pankaj</t>
  </si>
  <si>
    <t xml:space="preserve">Oct'25 </t>
  </si>
  <si>
    <t xml:space="preserve">SL </t>
  </si>
  <si>
    <t xml:space="preserve">CO </t>
  </si>
  <si>
    <t xml:space="preserve">Comp Off </t>
  </si>
  <si>
    <t xml:space="preserve">Sick Leave </t>
  </si>
  <si>
    <t xml:space="preserve">Nov'25 </t>
  </si>
  <si>
    <t>08:00 am - 05:00pm EST</t>
  </si>
  <si>
    <t xml:space="preserve">Dec'25 </t>
  </si>
  <si>
    <t>From</t>
  </si>
  <si>
    <t>To</t>
  </si>
  <si>
    <t>Swap with</t>
  </si>
  <si>
    <t>8 Dec - 19 Dec</t>
  </si>
  <si>
    <t>Shourjo</t>
  </si>
  <si>
    <t>Rahi</t>
  </si>
  <si>
    <t>22 Dec - 2 Jan</t>
  </si>
  <si>
    <t>Debadrit</t>
  </si>
  <si>
    <t>Pratik</t>
  </si>
  <si>
    <t>Arindam Dutta</t>
  </si>
  <si>
    <t>Shreya Katipally</t>
  </si>
  <si>
    <t>Prakash N</t>
  </si>
  <si>
    <t>Sick Leave</t>
  </si>
  <si>
    <t>Yet to be Decided</t>
  </si>
  <si>
    <t>Jan'26</t>
  </si>
  <si>
    <t>CO</t>
  </si>
  <si>
    <t>5 Jan - 17 Jan</t>
  </si>
  <si>
    <t>Shreya</t>
  </si>
  <si>
    <t>19 Jan - 31 Jan</t>
  </si>
  <si>
    <t>12 Jan - 17 Jan</t>
  </si>
  <si>
    <t>Manave</t>
  </si>
  <si>
    <t>Ritesh</t>
  </si>
  <si>
    <t>SL</t>
  </si>
  <si>
    <t>Weekend Shift</t>
  </si>
  <si>
    <t>M/N/NT</t>
  </si>
  <si>
    <t>Comp Off</t>
  </si>
  <si>
    <t xml:space="preserve">Name </t>
  </si>
  <si>
    <t xml:space="preserve">Shift </t>
  </si>
  <si>
    <t>Date</t>
  </si>
  <si>
    <t xml:space="preserve">Comments </t>
  </si>
  <si>
    <t xml:space="preserve">Weekend Support </t>
  </si>
  <si>
    <t>Comp offs</t>
  </si>
  <si>
    <t xml:space="preserve">M (ON) </t>
  </si>
  <si>
    <t xml:space="preserve">Mahavir Jayanthi </t>
  </si>
  <si>
    <t xml:space="preserve">Gandhi Jayanti </t>
  </si>
  <si>
    <t>Diwali</t>
  </si>
  <si>
    <t>Christmas</t>
  </si>
  <si>
    <t>New Year</t>
  </si>
  <si>
    <t>Pongal</t>
  </si>
  <si>
    <t>Thiruvalluvar Day(O)</t>
  </si>
  <si>
    <t>Shree Panchami</t>
  </si>
  <si>
    <t>Republic Day</t>
  </si>
  <si>
    <t>Lapse</t>
  </si>
  <si>
    <t>Prakash</t>
  </si>
  <si>
    <t>Feb'26</t>
  </si>
  <si>
    <t>16 Feb - 28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</si>
</sst>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9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70A8E0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90"/>
    </xf>
    <xf numFmtId="0" fontId="4" fillId="2" borderId="4" xfId="0" applyFont="1" applyFill="1" applyBorder="1" applyAlignment="1">
      <alignment horizontal="center" vertical="center" textRotation="90"/>
    </xf>
    <xf numFmtId="0" fontId="5" fillId="4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/>
    </xf>
    <xf numFmtId="0" fontId="1" fillId="0" borderId="4" xfId="0" applyFont="1" applyBorder="1"/>
    <xf numFmtId="0" fontId="5" fillId="0" borderId="4" xfId="0" applyFont="1" applyBorder="1" applyAlignment="1">
      <alignment horizontal="center" vertical="center"/>
    </xf>
    <xf numFmtId="0" fontId="5" fillId="9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wrapText="1"/>
    </xf>
    <xf numFmtId="0" fontId="2" fillId="4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7" fillId="0" borderId="0" xfId="0" applyFont="1"/>
    <xf numFmtId="0" fontId="3" fillId="2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4" fillId="0" borderId="7" xfId="0" applyFont="1" applyBorder="1" applyAlignment="1">
      <alignment textRotation="90"/>
    </xf>
    <xf numFmtId="0" fontId="4" fillId="2" borderId="7" xfId="0" applyFont="1" applyFill="1" applyBorder="1" applyAlignment="1">
      <alignment textRotation="90"/>
    </xf>
    <xf numFmtId="0" fontId="5" fillId="4" borderId="6" xfId="0" applyFont="1" applyFill="1" applyBorder="1"/>
    <xf numFmtId="0" fontId="5" fillId="0" borderId="7" xfId="0" applyFont="1" applyBorder="1"/>
    <xf numFmtId="0" fontId="5" fillId="5" borderId="7" xfId="0" applyFont="1" applyFill="1" applyBorder="1"/>
    <xf numFmtId="0" fontId="4" fillId="2" borderId="7" xfId="0" applyFont="1" applyFill="1" applyBorder="1"/>
    <xf numFmtId="0" fontId="5" fillId="5" borderId="4" xfId="0" applyFont="1" applyFill="1" applyBorder="1"/>
    <xf numFmtId="0" fontId="5" fillId="5" borderId="5" xfId="0" applyFont="1" applyFill="1" applyBorder="1"/>
    <xf numFmtId="0" fontId="5" fillId="0" borderId="6" xfId="0" applyFont="1" applyBorder="1"/>
    <xf numFmtId="0" fontId="4" fillId="8" borderId="7" xfId="0" applyFont="1" applyFill="1" applyBorder="1"/>
    <xf numFmtId="0" fontId="4" fillId="2" borderId="6" xfId="0" applyFont="1" applyFill="1" applyBorder="1"/>
    <xf numFmtId="0" fontId="5" fillId="9" borderId="7" xfId="0" applyFont="1" applyFill="1" applyBorder="1"/>
    <xf numFmtId="0" fontId="9" fillId="11" borderId="7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9" fillId="11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textRotation="90"/>
    </xf>
    <xf numFmtId="0" fontId="4" fillId="0" borderId="7" xfId="0" applyFont="1" applyBorder="1" applyAlignment="1">
      <alignment horizontal="center" textRotation="90"/>
    </xf>
    <xf numFmtId="0" fontId="4" fillId="2" borderId="7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0" borderId="4" xfId="0" applyFont="1" applyBorder="1"/>
    <xf numFmtId="0" fontId="0" fillId="0" borderId="4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textRotation="90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9" borderId="4" xfId="0" applyFont="1" applyFill="1" applyBorder="1"/>
    <xf numFmtId="0" fontId="0" fillId="15" borderId="0" xfId="0" applyFill="1"/>
    <xf numFmtId="0" fontId="0" fillId="0" borderId="0" xfId="0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" fillId="0" borderId="0" xfId="0" applyFont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7" fillId="0" borderId="1" xfId="0" applyFont="1" applyBorder="1"/>
    <xf numFmtId="0" fontId="7" fillId="0" borderId="8" xfId="0" applyFont="1" applyBorder="1"/>
    <xf numFmtId="0" fontId="7" fillId="0" borderId="0" xfId="0" applyFont="1"/>
    <xf numFmtId="0" fontId="7" fillId="0" borderId="9" xfId="0" applyFont="1" applyBorder="1"/>
    <xf numFmtId="0" fontId="7" fillId="14" borderId="1" xfId="0" applyFont="1" applyFill="1" applyBorder="1" applyAlignment="1">
      <alignment horizontal="center"/>
    </xf>
    <xf numFmtId="17" fontId="3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workbookViewId="0">
      <selection activeCell="A2" sqref="A2:B2"/>
    </sheetView>
  </sheetViews>
  <sheetFormatPr defaultRowHeight="14.4" x14ac:dyDescent="0.3"/>
  <cols>
    <col min="1" max="1" width="15.21875" bestFit="1" customWidth="1"/>
    <col min="2" max="2" width="9.5546875" bestFit="1" customWidth="1"/>
    <col min="3" max="7" width="3.21875" bestFit="1" customWidth="1"/>
    <col min="8" max="9" width="3.77734375" bestFit="1" customWidth="1"/>
    <col min="10" max="10" width="3.5546875" bestFit="1" customWidth="1"/>
    <col min="11" max="14" width="3.21875" bestFit="1" customWidth="1"/>
    <col min="15" max="15" width="3.77734375" bestFit="1" customWidth="1"/>
    <col min="16" max="16" width="3.44140625" bestFit="1" customWidth="1"/>
    <col min="18" max="18" width="13.21875" bestFit="1" customWidth="1"/>
    <col min="19" max="19" width="40.77734375" bestFit="1" customWidth="1"/>
    <col min="20" max="20" width="20.5546875" bestFit="1" customWidth="1"/>
  </cols>
  <sheetData>
    <row r="1" spans="1:22" x14ac:dyDescent="0.3">
      <c r="A1" s="1"/>
      <c r="B1" s="1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1"/>
      <c r="R1" s="3"/>
      <c r="S1" s="3"/>
      <c r="T1" s="2"/>
      <c r="U1" s="1"/>
      <c r="V1" s="1"/>
    </row>
    <row r="2" spans="1:22" ht="14.55" customHeight="1" x14ac:dyDescent="0.3">
      <c r="A2" s="75" t="s">
        <v>0</v>
      </c>
      <c r="B2" s="76"/>
      <c r="C2" s="4">
        <v>15</v>
      </c>
      <c r="D2" s="4">
        <v>16</v>
      </c>
      <c r="E2" s="4">
        <v>17</v>
      </c>
      <c r="F2" s="4">
        <v>18</v>
      </c>
      <c r="G2" s="4">
        <v>19</v>
      </c>
      <c r="H2" s="4">
        <v>20</v>
      </c>
      <c r="I2" s="4">
        <v>21</v>
      </c>
      <c r="J2" s="4">
        <v>22</v>
      </c>
      <c r="K2" s="4">
        <v>23</v>
      </c>
      <c r="L2" s="4">
        <v>24</v>
      </c>
      <c r="M2" s="4">
        <v>25</v>
      </c>
      <c r="N2" s="4">
        <v>26</v>
      </c>
      <c r="O2" s="4">
        <v>27</v>
      </c>
      <c r="P2" s="4">
        <v>28</v>
      </c>
      <c r="Q2" s="1"/>
      <c r="R2" s="3"/>
      <c r="S2" s="3"/>
      <c r="T2" s="2"/>
      <c r="U2" s="1"/>
      <c r="V2" s="1"/>
    </row>
    <row r="3" spans="1:22" ht="22.2" x14ac:dyDescent="0.3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6" t="s">
        <v>3</v>
      </c>
      <c r="K3" s="6" t="s">
        <v>4</v>
      </c>
      <c r="L3" s="6" t="s">
        <v>5</v>
      </c>
      <c r="M3" s="6" t="s">
        <v>6</v>
      </c>
      <c r="N3" s="6" t="s">
        <v>7</v>
      </c>
      <c r="O3" s="7" t="s">
        <v>8</v>
      </c>
      <c r="P3" s="7" t="s">
        <v>9</v>
      </c>
      <c r="Q3" s="1"/>
      <c r="R3" s="3"/>
      <c r="S3" s="3"/>
      <c r="T3" s="2"/>
      <c r="U3" s="1"/>
      <c r="V3" s="1"/>
    </row>
    <row r="4" spans="1:22" x14ac:dyDescent="0.3">
      <c r="A4" s="8" t="s">
        <v>10</v>
      </c>
      <c r="B4" s="9" t="s">
        <v>11</v>
      </c>
      <c r="C4" s="10" t="s">
        <v>12</v>
      </c>
      <c r="D4" s="10" t="s">
        <v>12</v>
      </c>
      <c r="E4" s="10" t="s">
        <v>12</v>
      </c>
      <c r="F4" s="10" t="s">
        <v>12</v>
      </c>
      <c r="G4" s="10" t="s">
        <v>12</v>
      </c>
      <c r="H4" s="11" t="s">
        <v>13</v>
      </c>
      <c r="I4" s="11" t="s">
        <v>13</v>
      </c>
      <c r="J4" s="10" t="s">
        <v>12</v>
      </c>
      <c r="K4" s="10" t="s">
        <v>12</v>
      </c>
      <c r="L4" s="10" t="s">
        <v>12</v>
      </c>
      <c r="M4" s="10" t="s">
        <v>12</v>
      </c>
      <c r="N4" s="10" t="s">
        <v>12</v>
      </c>
      <c r="O4" s="11" t="s">
        <v>13</v>
      </c>
      <c r="P4" s="11" t="s">
        <v>13</v>
      </c>
      <c r="Q4" s="1"/>
      <c r="R4" s="12" t="s">
        <v>14</v>
      </c>
      <c r="S4" s="12" t="s">
        <v>15</v>
      </c>
      <c r="T4" s="13" t="s">
        <v>16</v>
      </c>
      <c r="U4" s="1"/>
      <c r="V4" s="1"/>
    </row>
    <row r="5" spans="1:22" x14ac:dyDescent="0.3">
      <c r="A5" s="8" t="s">
        <v>17</v>
      </c>
      <c r="B5" s="9" t="s">
        <v>18</v>
      </c>
      <c r="C5" s="9" t="s">
        <v>19</v>
      </c>
      <c r="D5" s="9" t="s">
        <v>19</v>
      </c>
      <c r="E5" s="9" t="s">
        <v>19</v>
      </c>
      <c r="F5" s="9" t="s">
        <v>19</v>
      </c>
      <c r="G5" s="9" t="s">
        <v>19</v>
      </c>
      <c r="H5" s="11" t="s">
        <v>13</v>
      </c>
      <c r="I5" s="11" t="s">
        <v>13</v>
      </c>
      <c r="J5" s="9" t="s">
        <v>19</v>
      </c>
      <c r="K5" s="9" t="s">
        <v>19</v>
      </c>
      <c r="L5" s="9" t="s">
        <v>19</v>
      </c>
      <c r="M5" s="9" t="s">
        <v>19</v>
      </c>
      <c r="N5" s="9" t="s">
        <v>19</v>
      </c>
      <c r="O5" s="11" t="s">
        <v>13</v>
      </c>
      <c r="P5" s="11" t="s">
        <v>13</v>
      </c>
      <c r="Q5" s="1"/>
      <c r="R5" s="9" t="s">
        <v>20</v>
      </c>
      <c r="S5" s="14" t="s">
        <v>21</v>
      </c>
      <c r="T5" s="15" t="s">
        <v>12</v>
      </c>
      <c r="U5" s="1"/>
      <c r="V5" s="1"/>
    </row>
    <row r="6" spans="1:22" x14ac:dyDescent="0.3">
      <c r="A6" s="8" t="s">
        <v>22</v>
      </c>
      <c r="B6" s="9" t="s">
        <v>18</v>
      </c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11" t="s">
        <v>13</v>
      </c>
      <c r="I6" s="11" t="s">
        <v>13</v>
      </c>
      <c r="J6" s="9" t="s">
        <v>19</v>
      </c>
      <c r="K6" s="9" t="s">
        <v>19</v>
      </c>
      <c r="L6" s="9" t="s">
        <v>19</v>
      </c>
      <c r="M6" s="9" t="s">
        <v>19</v>
      </c>
      <c r="N6" s="9" t="s">
        <v>19</v>
      </c>
      <c r="O6" s="11" t="s">
        <v>13</v>
      </c>
      <c r="P6" s="11" t="s">
        <v>13</v>
      </c>
      <c r="Q6" s="1"/>
      <c r="R6" s="9" t="s">
        <v>23</v>
      </c>
      <c r="S6" s="14" t="s">
        <v>24</v>
      </c>
      <c r="T6" s="15" t="s">
        <v>25</v>
      </c>
      <c r="U6" s="1"/>
      <c r="V6" s="1"/>
    </row>
    <row r="7" spans="1:22" x14ac:dyDescent="0.3">
      <c r="A7" s="9" t="s">
        <v>26</v>
      </c>
      <c r="B7" s="9" t="s">
        <v>11</v>
      </c>
      <c r="C7" s="14" t="s">
        <v>25</v>
      </c>
      <c r="D7" s="14" t="s">
        <v>25</v>
      </c>
      <c r="E7" s="14" t="s">
        <v>25</v>
      </c>
      <c r="F7" s="14" t="s">
        <v>25</v>
      </c>
      <c r="G7" s="14" t="s">
        <v>25</v>
      </c>
      <c r="H7" s="11" t="s">
        <v>13</v>
      </c>
      <c r="I7" s="11" t="s">
        <v>13</v>
      </c>
      <c r="J7" s="14" t="s">
        <v>25</v>
      </c>
      <c r="K7" s="14" t="s">
        <v>25</v>
      </c>
      <c r="L7" s="14" t="s">
        <v>25</v>
      </c>
      <c r="M7" s="14" t="s">
        <v>25</v>
      </c>
      <c r="N7" s="14" t="s">
        <v>25</v>
      </c>
      <c r="O7" s="16" t="s">
        <v>27</v>
      </c>
      <c r="P7" s="11" t="s">
        <v>13</v>
      </c>
      <c r="Q7" s="17"/>
      <c r="R7" s="9" t="s">
        <v>28</v>
      </c>
      <c r="S7" s="14" t="s">
        <v>29</v>
      </c>
      <c r="T7" s="15" t="s">
        <v>30</v>
      </c>
      <c r="U7" s="1"/>
      <c r="V7" s="1"/>
    </row>
    <row r="8" spans="1:22" x14ac:dyDescent="0.3">
      <c r="A8" s="9" t="s">
        <v>31</v>
      </c>
      <c r="B8" s="9" t="s">
        <v>11</v>
      </c>
      <c r="C8" s="14" t="s">
        <v>30</v>
      </c>
      <c r="D8" s="14" t="s">
        <v>30</v>
      </c>
      <c r="E8" s="14" t="s">
        <v>30</v>
      </c>
      <c r="F8" s="14" t="s">
        <v>30</v>
      </c>
      <c r="G8" s="14" t="s">
        <v>30</v>
      </c>
      <c r="H8" s="11" t="s">
        <v>13</v>
      </c>
      <c r="I8" s="11" t="s">
        <v>13</v>
      </c>
      <c r="J8" s="10" t="s">
        <v>30</v>
      </c>
      <c r="K8" s="14" t="s">
        <v>30</v>
      </c>
      <c r="L8" s="14" t="s">
        <v>30</v>
      </c>
      <c r="M8" s="14" t="s">
        <v>30</v>
      </c>
      <c r="N8" s="14" t="s">
        <v>30</v>
      </c>
      <c r="O8" s="11" t="s">
        <v>13</v>
      </c>
      <c r="P8" s="11" t="s">
        <v>13</v>
      </c>
      <c r="Q8" s="17"/>
      <c r="R8" s="9" t="s">
        <v>32</v>
      </c>
      <c r="S8" s="9" t="s">
        <v>33</v>
      </c>
      <c r="T8" s="18" t="s">
        <v>34</v>
      </c>
      <c r="U8" s="1"/>
      <c r="V8" s="1"/>
    </row>
    <row r="9" spans="1:22" x14ac:dyDescent="0.3">
      <c r="A9" s="9" t="s">
        <v>35</v>
      </c>
      <c r="B9" s="9" t="s">
        <v>18</v>
      </c>
      <c r="C9" s="9" t="s">
        <v>34</v>
      </c>
      <c r="D9" s="9" t="s">
        <v>34</v>
      </c>
      <c r="E9" s="9" t="s">
        <v>34</v>
      </c>
      <c r="F9" s="9" t="s">
        <v>34</v>
      </c>
      <c r="G9" s="9" t="s">
        <v>34</v>
      </c>
      <c r="H9" s="11" t="s">
        <v>13</v>
      </c>
      <c r="I9" s="11" t="s">
        <v>13</v>
      </c>
      <c r="J9" s="19" t="s">
        <v>36</v>
      </c>
      <c r="K9" s="9" t="s">
        <v>34</v>
      </c>
      <c r="L9" s="9" t="s">
        <v>34</v>
      </c>
      <c r="M9" s="9" t="s">
        <v>34</v>
      </c>
      <c r="N9" s="9" t="s">
        <v>34</v>
      </c>
      <c r="O9" s="11" t="s">
        <v>13</v>
      </c>
      <c r="P9" s="11" t="s">
        <v>13</v>
      </c>
      <c r="Q9" s="17"/>
      <c r="R9" s="9" t="s">
        <v>37</v>
      </c>
      <c r="S9" s="9" t="s">
        <v>38</v>
      </c>
      <c r="T9" s="18" t="s">
        <v>19</v>
      </c>
      <c r="U9" s="1"/>
      <c r="V9" s="1"/>
    </row>
    <row r="10" spans="1:22" x14ac:dyDescent="0.3">
      <c r="A10" s="9" t="s">
        <v>39</v>
      </c>
      <c r="B10" s="9" t="s">
        <v>18</v>
      </c>
      <c r="C10" s="9" t="s">
        <v>19</v>
      </c>
      <c r="D10" s="9" t="s">
        <v>19</v>
      </c>
      <c r="E10" s="9" t="s">
        <v>19</v>
      </c>
      <c r="F10" s="9" t="s">
        <v>19</v>
      </c>
      <c r="G10" s="9" t="s">
        <v>19</v>
      </c>
      <c r="H10" s="11" t="s">
        <v>13</v>
      </c>
      <c r="I10" s="11" t="s">
        <v>13</v>
      </c>
      <c r="J10" s="9" t="s">
        <v>19</v>
      </c>
      <c r="K10" s="9" t="s">
        <v>19</v>
      </c>
      <c r="L10" s="9" t="s">
        <v>19</v>
      </c>
      <c r="M10" s="9" t="s">
        <v>19</v>
      </c>
      <c r="N10" s="9" t="s">
        <v>19</v>
      </c>
      <c r="O10" s="11" t="s">
        <v>13</v>
      </c>
      <c r="P10" s="11" t="s">
        <v>13</v>
      </c>
      <c r="Q10" s="17"/>
      <c r="R10" s="9" t="s">
        <v>40</v>
      </c>
      <c r="S10" s="9" t="s">
        <v>41</v>
      </c>
      <c r="T10" s="18" t="s">
        <v>42</v>
      </c>
      <c r="U10" s="1"/>
      <c r="V10" s="1"/>
    </row>
    <row r="11" spans="1:22" x14ac:dyDescent="0.3">
      <c r="A11" s="9" t="s">
        <v>43</v>
      </c>
      <c r="B11" s="9" t="s">
        <v>18</v>
      </c>
      <c r="C11" s="9" t="s">
        <v>42</v>
      </c>
      <c r="D11" s="9" t="s">
        <v>42</v>
      </c>
      <c r="E11" s="9" t="s">
        <v>42</v>
      </c>
      <c r="F11" s="9" t="s">
        <v>42</v>
      </c>
      <c r="G11" s="9" t="s">
        <v>42</v>
      </c>
      <c r="H11" s="11" t="s">
        <v>13</v>
      </c>
      <c r="I11" s="11" t="s">
        <v>13</v>
      </c>
      <c r="J11" s="9" t="s">
        <v>42</v>
      </c>
      <c r="K11" s="9" t="s">
        <v>42</v>
      </c>
      <c r="L11" s="9" t="s">
        <v>42</v>
      </c>
      <c r="M11" s="9" t="s">
        <v>42</v>
      </c>
      <c r="N11" s="9" t="s">
        <v>42</v>
      </c>
      <c r="O11" s="11" t="s">
        <v>13</v>
      </c>
      <c r="P11" s="11" t="s">
        <v>13</v>
      </c>
      <c r="Q11" s="17"/>
      <c r="R11" s="3"/>
      <c r="S11" s="3"/>
      <c r="T11" s="2"/>
      <c r="U11" s="1"/>
      <c r="V11" s="1"/>
    </row>
    <row r="12" spans="1:22" x14ac:dyDescent="0.3">
      <c r="A12" s="9" t="s">
        <v>44</v>
      </c>
      <c r="B12" s="9" t="s">
        <v>18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11" t="s">
        <v>13</v>
      </c>
      <c r="I12" s="11" t="s">
        <v>13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11" t="s">
        <v>13</v>
      </c>
      <c r="P12" s="11" t="s">
        <v>13</v>
      </c>
      <c r="Q12" s="17"/>
      <c r="R12" s="77" t="s">
        <v>16</v>
      </c>
      <c r="S12" s="78"/>
      <c r="T12" s="2"/>
      <c r="U12" s="1"/>
      <c r="V12" s="1"/>
    </row>
    <row r="13" spans="1:22" x14ac:dyDescent="0.3">
      <c r="A13" s="9" t="s">
        <v>45</v>
      </c>
      <c r="B13" s="9" t="s">
        <v>18</v>
      </c>
      <c r="C13" s="9" t="s">
        <v>34</v>
      </c>
      <c r="D13" s="9" t="s">
        <v>34</v>
      </c>
      <c r="E13" s="9" t="s">
        <v>34</v>
      </c>
      <c r="F13" s="9" t="s">
        <v>34</v>
      </c>
      <c r="G13" s="9" t="s">
        <v>34</v>
      </c>
      <c r="H13" s="16" t="s">
        <v>46</v>
      </c>
      <c r="I13" s="16" t="s">
        <v>46</v>
      </c>
      <c r="J13" s="9" t="s">
        <v>34</v>
      </c>
      <c r="K13" s="9" t="s">
        <v>34</v>
      </c>
      <c r="L13" s="9" t="s">
        <v>34</v>
      </c>
      <c r="M13" s="9" t="s">
        <v>34</v>
      </c>
      <c r="N13" s="9" t="s">
        <v>34</v>
      </c>
      <c r="O13" s="11" t="s">
        <v>13</v>
      </c>
      <c r="P13" s="11" t="s">
        <v>13</v>
      </c>
      <c r="Q13" s="17"/>
      <c r="R13" s="9" t="s">
        <v>47</v>
      </c>
      <c r="S13" s="21" t="s">
        <v>46</v>
      </c>
      <c r="T13" s="2" t="s">
        <v>48</v>
      </c>
      <c r="U13" s="1"/>
      <c r="V13" s="1"/>
    </row>
    <row r="14" spans="1:22" x14ac:dyDescent="0.3">
      <c r="A14" s="9" t="s">
        <v>49</v>
      </c>
      <c r="B14" s="9" t="s">
        <v>18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11" t="s">
        <v>13</v>
      </c>
      <c r="I14" s="11" t="s">
        <v>13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16" t="s">
        <v>46</v>
      </c>
      <c r="P14" s="11" t="s">
        <v>13</v>
      </c>
      <c r="Q14" s="17"/>
      <c r="R14" s="9" t="s">
        <v>50</v>
      </c>
      <c r="S14" s="21" t="s">
        <v>27</v>
      </c>
      <c r="T14" s="2" t="s">
        <v>51</v>
      </c>
      <c r="U14" s="1"/>
      <c r="V14" s="1"/>
    </row>
    <row r="15" spans="1:22" x14ac:dyDescent="0.3">
      <c r="A15" s="9" t="s">
        <v>52</v>
      </c>
      <c r="B15" s="9" t="s">
        <v>18</v>
      </c>
      <c r="C15" s="9" t="s">
        <v>34</v>
      </c>
      <c r="D15" s="9" t="s">
        <v>34</v>
      </c>
      <c r="E15" s="9" t="s">
        <v>34</v>
      </c>
      <c r="F15" s="9" t="s">
        <v>34</v>
      </c>
      <c r="G15" s="9" t="s">
        <v>34</v>
      </c>
      <c r="H15" s="16" t="s">
        <v>27</v>
      </c>
      <c r="I15" s="16" t="s">
        <v>27</v>
      </c>
      <c r="J15" s="9" t="s">
        <v>34</v>
      </c>
      <c r="K15" s="9" t="s">
        <v>34</v>
      </c>
      <c r="L15" s="9" t="s">
        <v>34</v>
      </c>
      <c r="M15" s="9" t="s">
        <v>34</v>
      </c>
      <c r="N15" s="9" t="s">
        <v>34</v>
      </c>
      <c r="O15" s="11" t="s">
        <v>13</v>
      </c>
      <c r="P15" s="11" t="s">
        <v>13</v>
      </c>
      <c r="Q15" s="17"/>
      <c r="R15" s="9" t="s">
        <v>53</v>
      </c>
      <c r="S15" s="22" t="s">
        <v>13</v>
      </c>
      <c r="T15" s="2"/>
      <c r="U15" s="1"/>
      <c r="V15" s="1"/>
    </row>
    <row r="16" spans="1:22" x14ac:dyDescent="0.3">
      <c r="A16" s="9" t="s">
        <v>54</v>
      </c>
      <c r="B16" s="9" t="s">
        <v>18</v>
      </c>
      <c r="C16" s="9" t="s">
        <v>42</v>
      </c>
      <c r="D16" s="9" t="s">
        <v>42</v>
      </c>
      <c r="E16" s="9" t="s">
        <v>42</v>
      </c>
      <c r="F16" s="9" t="s">
        <v>42</v>
      </c>
      <c r="G16" s="9" t="s">
        <v>42</v>
      </c>
      <c r="H16" s="11" t="s">
        <v>13</v>
      </c>
      <c r="I16" s="11" t="s">
        <v>13</v>
      </c>
      <c r="J16" s="9" t="s">
        <v>42</v>
      </c>
      <c r="K16" s="9" t="s">
        <v>42</v>
      </c>
      <c r="L16" s="9" t="s">
        <v>42</v>
      </c>
      <c r="M16" s="9" t="s">
        <v>42</v>
      </c>
      <c r="N16" s="9" t="s">
        <v>42</v>
      </c>
      <c r="O16" s="11" t="s">
        <v>13</v>
      </c>
      <c r="P16" s="11" t="s">
        <v>13</v>
      </c>
      <c r="Q16" s="23"/>
      <c r="R16" s="9" t="s">
        <v>55</v>
      </c>
      <c r="S16" s="19" t="s">
        <v>36</v>
      </c>
      <c r="T16" s="2"/>
      <c r="U16" s="1"/>
      <c r="V16" s="1"/>
    </row>
    <row r="17" spans="1:22" x14ac:dyDescent="0.3">
      <c r="A17" s="1"/>
      <c r="B17" s="1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1"/>
      <c r="R17" s="25"/>
      <c r="S17" s="26" t="s">
        <v>56</v>
      </c>
      <c r="T17" s="2"/>
      <c r="U17" s="1"/>
      <c r="V17" s="1"/>
    </row>
  </sheetData>
  <mergeCells count="9">
    <mergeCell ref="A2:B2"/>
    <mergeCell ref="R12:S12"/>
    <mergeCell ref="O1:P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3647-869E-4235-BC2B-71FE7DE17652}">
  <dimension ref="A1:AK24"/>
  <sheetViews>
    <sheetView workbookViewId="0">
      <selection activeCell="AD1" sqref="AD1"/>
    </sheetView>
  </sheetViews>
  <sheetFormatPr defaultRowHeight="14.4" x14ac:dyDescent="0.3"/>
  <cols>
    <col min="1" max="1" width="15.21875" bestFit="1" customWidth="1"/>
    <col min="2" max="2" width="9.5546875" bestFit="1" customWidth="1"/>
    <col min="3" max="7" width="3.5546875" bestFit="1" customWidth="1"/>
    <col min="8" max="8" width="3.77734375" bestFit="1" customWidth="1"/>
    <col min="9" max="11" width="3.44140625" bestFit="1" customWidth="1"/>
    <col min="12" max="14" width="3.21875" bestFit="1" customWidth="1"/>
    <col min="15" max="17" width="3.44140625" bestFit="1" customWidth="1"/>
    <col min="18" max="21" width="3.21875" bestFit="1" customWidth="1"/>
    <col min="22" max="23" width="3.44140625" bestFit="1" customWidth="1"/>
    <col min="24" max="25" width="3.5546875" bestFit="1" customWidth="1"/>
    <col min="26" max="26" width="3.21875" bestFit="1" customWidth="1"/>
    <col min="27" max="27" width="3.44140625" bestFit="1" customWidth="1"/>
    <col min="28" max="28" width="3.21875" bestFit="1" customWidth="1"/>
    <col min="29" max="31" width="3.44140625" bestFit="1" customWidth="1"/>
    <col min="32" max="32" width="3.21875" bestFit="1" customWidth="1"/>
    <col min="33" max="34" width="3.44140625" bestFit="1" customWidth="1"/>
    <col min="35" max="35" width="3.5546875" bestFit="1" customWidth="1"/>
    <col min="36" max="37" width="3.44140625" bestFit="1" customWidth="1"/>
  </cols>
  <sheetData>
    <row r="1" spans="1:37" x14ac:dyDescent="0.3">
      <c r="A1" s="28"/>
      <c r="B1" s="28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</row>
    <row r="2" spans="1:37" ht="14.55" customHeight="1" x14ac:dyDescent="0.3">
      <c r="A2" s="80" t="s">
        <v>57</v>
      </c>
      <c r="B2" s="81"/>
      <c r="C2" s="29">
        <v>29</v>
      </c>
      <c r="D2" s="29">
        <v>30</v>
      </c>
      <c r="E2" s="29">
        <v>1</v>
      </c>
      <c r="F2" s="29">
        <v>2</v>
      </c>
      <c r="G2" s="29">
        <v>3</v>
      </c>
      <c r="H2" s="29">
        <v>4</v>
      </c>
      <c r="I2" s="29">
        <v>5</v>
      </c>
      <c r="J2" s="29">
        <v>6</v>
      </c>
      <c r="K2" s="29">
        <v>7</v>
      </c>
      <c r="L2" s="29">
        <v>8</v>
      </c>
      <c r="M2" s="29">
        <v>9</v>
      </c>
      <c r="N2" s="29">
        <v>10</v>
      </c>
      <c r="O2" s="29">
        <v>11</v>
      </c>
      <c r="P2" s="29">
        <v>12</v>
      </c>
      <c r="Q2" s="29">
        <v>13</v>
      </c>
      <c r="R2" s="29">
        <v>14</v>
      </c>
      <c r="S2" s="29">
        <v>15</v>
      </c>
      <c r="T2" s="29">
        <v>16</v>
      </c>
      <c r="U2" s="29">
        <v>17</v>
      </c>
      <c r="V2" s="29">
        <v>18</v>
      </c>
      <c r="W2" s="29">
        <v>19</v>
      </c>
      <c r="X2" s="29">
        <v>20</v>
      </c>
      <c r="Y2" s="29">
        <v>21</v>
      </c>
      <c r="Z2" s="29">
        <v>22</v>
      </c>
      <c r="AA2" s="29">
        <v>23</v>
      </c>
      <c r="AB2" s="29">
        <v>24</v>
      </c>
      <c r="AC2" s="29">
        <v>25</v>
      </c>
      <c r="AD2" s="29">
        <v>26</v>
      </c>
      <c r="AE2" s="29">
        <v>27</v>
      </c>
      <c r="AF2" s="29">
        <v>28</v>
      </c>
      <c r="AG2" s="29">
        <v>29</v>
      </c>
      <c r="AH2" s="29">
        <v>30</v>
      </c>
      <c r="AI2" s="29">
        <v>31</v>
      </c>
      <c r="AJ2" s="29">
        <v>1</v>
      </c>
      <c r="AK2" s="29">
        <v>2</v>
      </c>
    </row>
    <row r="3" spans="1:37" ht="22.2" x14ac:dyDescent="0.3">
      <c r="A3" s="30" t="s">
        <v>1</v>
      </c>
      <c r="B3" s="31" t="s">
        <v>2</v>
      </c>
      <c r="C3" s="32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3" t="s">
        <v>8</v>
      </c>
      <c r="I3" s="33" t="s">
        <v>9</v>
      </c>
      <c r="J3" s="33" t="s">
        <v>3</v>
      </c>
      <c r="K3" s="32" t="s">
        <v>4</v>
      </c>
      <c r="L3" s="32" t="s">
        <v>5</v>
      </c>
      <c r="M3" s="33" t="s">
        <v>6</v>
      </c>
      <c r="N3" s="33" t="s">
        <v>7</v>
      </c>
      <c r="O3" s="32" t="s">
        <v>8</v>
      </c>
      <c r="P3" s="32" t="s">
        <v>9</v>
      </c>
      <c r="Q3" s="32" t="s">
        <v>3</v>
      </c>
      <c r="R3" s="33" t="s">
        <v>4</v>
      </c>
      <c r="S3" s="32" t="s">
        <v>5</v>
      </c>
      <c r="T3" s="32" t="s">
        <v>6</v>
      </c>
      <c r="U3" s="32" t="s">
        <v>7</v>
      </c>
      <c r="V3" s="33" t="s">
        <v>8</v>
      </c>
      <c r="W3" s="33" t="s">
        <v>9</v>
      </c>
      <c r="X3" s="32" t="s">
        <v>3</v>
      </c>
      <c r="Y3" s="32" t="s">
        <v>4</v>
      </c>
      <c r="Z3" s="32" t="s">
        <v>5</v>
      </c>
      <c r="AA3" s="32" t="s">
        <v>6</v>
      </c>
      <c r="AB3" s="32" t="s">
        <v>7</v>
      </c>
      <c r="AC3" s="33" t="s">
        <v>8</v>
      </c>
      <c r="AD3" s="33" t="s">
        <v>9</v>
      </c>
      <c r="AE3" s="32" t="s">
        <v>3</v>
      </c>
      <c r="AF3" s="32" t="s">
        <v>4</v>
      </c>
      <c r="AG3" s="32" t="s">
        <v>5</v>
      </c>
      <c r="AH3" s="32" t="s">
        <v>6</v>
      </c>
      <c r="AI3" s="32" t="s">
        <v>7</v>
      </c>
      <c r="AJ3" s="33" t="s">
        <v>8</v>
      </c>
      <c r="AK3" s="33" t="s">
        <v>9</v>
      </c>
    </row>
    <row r="4" spans="1:37" x14ac:dyDescent="0.3">
      <c r="A4" s="34" t="s">
        <v>10</v>
      </c>
      <c r="B4" s="35" t="s">
        <v>11</v>
      </c>
      <c r="C4" s="36" t="s">
        <v>12</v>
      </c>
      <c r="D4" s="36" t="s">
        <v>12</v>
      </c>
      <c r="E4" s="36" t="s">
        <v>12</v>
      </c>
      <c r="F4" s="36" t="s">
        <v>12</v>
      </c>
      <c r="G4" s="36" t="s">
        <v>12</v>
      </c>
      <c r="H4" s="37" t="s">
        <v>13</v>
      </c>
      <c r="I4" s="37" t="s">
        <v>13</v>
      </c>
      <c r="J4" s="37" t="s">
        <v>12</v>
      </c>
      <c r="K4" s="36" t="s">
        <v>12</v>
      </c>
      <c r="L4" s="36" t="s">
        <v>12</v>
      </c>
      <c r="M4" s="36" t="s">
        <v>12</v>
      </c>
      <c r="N4" s="36" t="s">
        <v>12</v>
      </c>
      <c r="O4" s="37" t="s">
        <v>13</v>
      </c>
      <c r="P4" s="37" t="s">
        <v>13</v>
      </c>
      <c r="Q4" s="36" t="s">
        <v>12</v>
      </c>
      <c r="R4" s="36" t="s">
        <v>12</v>
      </c>
      <c r="S4" s="36" t="s">
        <v>12</v>
      </c>
      <c r="T4" s="36" t="s">
        <v>12</v>
      </c>
      <c r="U4" s="36" t="s">
        <v>12</v>
      </c>
      <c r="V4" s="37" t="s">
        <v>13</v>
      </c>
      <c r="W4" s="37" t="s">
        <v>13</v>
      </c>
      <c r="X4" s="36" t="s">
        <v>12</v>
      </c>
      <c r="Y4" s="36" t="s">
        <v>12</v>
      </c>
      <c r="Z4" s="36" t="s">
        <v>12</v>
      </c>
      <c r="AA4" s="36" t="s">
        <v>12</v>
      </c>
      <c r="AB4" s="36" t="s">
        <v>12</v>
      </c>
      <c r="AC4" s="37" t="s">
        <v>13</v>
      </c>
      <c r="AD4" s="37" t="s">
        <v>13</v>
      </c>
      <c r="AE4" s="38" t="s">
        <v>12</v>
      </c>
      <c r="AF4" s="39" t="s">
        <v>12</v>
      </c>
      <c r="AG4" s="39" t="s">
        <v>12</v>
      </c>
      <c r="AH4" s="39" t="s">
        <v>12</v>
      </c>
      <c r="AI4" s="39" t="s">
        <v>12</v>
      </c>
      <c r="AJ4" s="37" t="s">
        <v>13</v>
      </c>
      <c r="AK4" s="37" t="s">
        <v>13</v>
      </c>
    </row>
    <row r="5" spans="1:37" x14ac:dyDescent="0.3">
      <c r="A5" s="34" t="s">
        <v>17</v>
      </c>
      <c r="B5" s="35" t="s">
        <v>18</v>
      </c>
      <c r="C5" s="35" t="s">
        <v>19</v>
      </c>
      <c r="D5" s="35" t="s">
        <v>19</v>
      </c>
      <c r="E5" s="35" t="s">
        <v>19</v>
      </c>
      <c r="F5" s="35" t="s">
        <v>19</v>
      </c>
      <c r="G5" s="35" t="s">
        <v>19</v>
      </c>
      <c r="H5" s="37" t="s">
        <v>13</v>
      </c>
      <c r="I5" s="37" t="s">
        <v>13</v>
      </c>
      <c r="J5" s="35" t="s">
        <v>19</v>
      </c>
      <c r="K5" s="35" t="s">
        <v>19</v>
      </c>
      <c r="L5" s="35" t="s">
        <v>19</v>
      </c>
      <c r="M5" s="35" t="s">
        <v>19</v>
      </c>
      <c r="N5" s="35" t="s">
        <v>19</v>
      </c>
      <c r="O5" s="37" t="s">
        <v>13</v>
      </c>
      <c r="P5" s="37" t="s">
        <v>13</v>
      </c>
      <c r="Q5" s="35" t="s">
        <v>19</v>
      </c>
      <c r="R5" s="35" t="s">
        <v>19</v>
      </c>
      <c r="S5" s="35" t="s">
        <v>19</v>
      </c>
      <c r="T5" s="35" t="s">
        <v>19</v>
      </c>
      <c r="U5" s="35" t="s">
        <v>19</v>
      </c>
      <c r="V5" s="37" t="s">
        <v>13</v>
      </c>
      <c r="W5" s="37" t="s">
        <v>13</v>
      </c>
      <c r="X5" s="35" t="s">
        <v>19</v>
      </c>
      <c r="Y5" s="35" t="s">
        <v>19</v>
      </c>
      <c r="Z5" s="35" t="s">
        <v>19</v>
      </c>
      <c r="AA5" s="35" t="s">
        <v>19</v>
      </c>
      <c r="AB5" s="35" t="s">
        <v>19</v>
      </c>
      <c r="AC5" s="37" t="s">
        <v>13</v>
      </c>
      <c r="AD5" s="37" t="s">
        <v>13</v>
      </c>
      <c r="AE5" s="40" t="s">
        <v>19</v>
      </c>
      <c r="AF5" s="35" t="s">
        <v>19</v>
      </c>
      <c r="AG5" s="35" t="s">
        <v>19</v>
      </c>
      <c r="AH5" s="35" t="s">
        <v>19</v>
      </c>
      <c r="AI5" s="35" t="s">
        <v>19</v>
      </c>
      <c r="AJ5" s="37" t="s">
        <v>13</v>
      </c>
      <c r="AK5" s="37" t="s">
        <v>13</v>
      </c>
    </row>
    <row r="6" spans="1:37" x14ac:dyDescent="0.3">
      <c r="A6" s="34" t="s">
        <v>22</v>
      </c>
      <c r="B6" s="35" t="s">
        <v>18</v>
      </c>
      <c r="C6" s="35" t="s">
        <v>19</v>
      </c>
      <c r="D6" s="35" t="s">
        <v>19</v>
      </c>
      <c r="E6" s="35" t="s">
        <v>19</v>
      </c>
      <c r="F6" s="35" t="s">
        <v>19</v>
      </c>
      <c r="G6" s="35" t="s">
        <v>19</v>
      </c>
      <c r="H6" s="37" t="s">
        <v>13</v>
      </c>
      <c r="I6" s="37" t="s">
        <v>13</v>
      </c>
      <c r="J6" s="35" t="s">
        <v>19</v>
      </c>
      <c r="K6" s="35" t="s">
        <v>19</v>
      </c>
      <c r="L6" s="35" t="s">
        <v>19</v>
      </c>
      <c r="M6" s="35" t="s">
        <v>19</v>
      </c>
      <c r="N6" s="35" t="s">
        <v>19</v>
      </c>
      <c r="O6" s="37" t="s">
        <v>13</v>
      </c>
      <c r="P6" s="37" t="s">
        <v>13</v>
      </c>
      <c r="Q6" s="35" t="s">
        <v>19</v>
      </c>
      <c r="R6" s="35" t="s">
        <v>19</v>
      </c>
      <c r="S6" s="35" t="s">
        <v>19</v>
      </c>
      <c r="T6" s="35" t="s">
        <v>19</v>
      </c>
      <c r="U6" s="35" t="s">
        <v>19</v>
      </c>
      <c r="V6" s="37" t="s">
        <v>13</v>
      </c>
      <c r="W6" s="37" t="s">
        <v>13</v>
      </c>
      <c r="X6" s="35" t="s">
        <v>19</v>
      </c>
      <c r="Y6" s="35" t="s">
        <v>19</v>
      </c>
      <c r="Z6" s="35" t="s">
        <v>19</v>
      </c>
      <c r="AA6" s="35" t="s">
        <v>19</v>
      </c>
      <c r="AB6" s="35" t="s">
        <v>19</v>
      </c>
      <c r="AC6" s="37" t="s">
        <v>13</v>
      </c>
      <c r="AD6" s="37" t="s">
        <v>13</v>
      </c>
      <c r="AE6" s="40" t="s">
        <v>19</v>
      </c>
      <c r="AF6" s="35" t="s">
        <v>19</v>
      </c>
      <c r="AG6" s="35" t="s">
        <v>19</v>
      </c>
      <c r="AH6" s="35" t="s">
        <v>19</v>
      </c>
      <c r="AI6" s="35" t="s">
        <v>19</v>
      </c>
      <c r="AJ6" s="37" t="s">
        <v>13</v>
      </c>
      <c r="AK6" s="37" t="s">
        <v>13</v>
      </c>
    </row>
    <row r="7" spans="1:37" x14ac:dyDescent="0.3">
      <c r="A7" s="40" t="s">
        <v>26</v>
      </c>
      <c r="B7" s="35" t="s">
        <v>11</v>
      </c>
      <c r="C7" s="36" t="s">
        <v>25</v>
      </c>
      <c r="D7" s="36" t="s">
        <v>25</v>
      </c>
      <c r="E7" s="36" t="s">
        <v>25</v>
      </c>
      <c r="F7" s="36" t="s">
        <v>25</v>
      </c>
      <c r="G7" s="36" t="s">
        <v>25</v>
      </c>
      <c r="H7" s="37" t="s">
        <v>13</v>
      </c>
      <c r="I7" s="37" t="s">
        <v>13</v>
      </c>
      <c r="J7" s="36" t="s">
        <v>25</v>
      </c>
      <c r="K7" s="36" t="s">
        <v>25</v>
      </c>
      <c r="L7" s="36" t="s">
        <v>25</v>
      </c>
      <c r="M7" s="36" t="s">
        <v>25</v>
      </c>
      <c r="N7" s="36" t="s">
        <v>25</v>
      </c>
      <c r="O7" s="37" t="s">
        <v>13</v>
      </c>
      <c r="P7" s="37" t="s">
        <v>13</v>
      </c>
      <c r="Q7" s="36" t="s">
        <v>30</v>
      </c>
      <c r="R7" s="36" t="s">
        <v>30</v>
      </c>
      <c r="S7" s="36" t="s">
        <v>30</v>
      </c>
      <c r="T7" s="36" t="s">
        <v>30</v>
      </c>
      <c r="U7" s="36" t="s">
        <v>30</v>
      </c>
      <c r="V7" s="41" t="s">
        <v>30</v>
      </c>
      <c r="W7" s="37" t="s">
        <v>13</v>
      </c>
      <c r="X7" s="36" t="s">
        <v>25</v>
      </c>
      <c r="Y7" s="36" t="s">
        <v>25</v>
      </c>
      <c r="Z7" s="36" t="s">
        <v>25</v>
      </c>
      <c r="AA7" s="36" t="s">
        <v>25</v>
      </c>
      <c r="AB7" s="36" t="s">
        <v>25</v>
      </c>
      <c r="AC7" s="37" t="s">
        <v>13</v>
      </c>
      <c r="AD7" s="37" t="s">
        <v>13</v>
      </c>
      <c r="AE7" s="36" t="s">
        <v>25</v>
      </c>
      <c r="AF7" s="36" t="s">
        <v>25</v>
      </c>
      <c r="AG7" s="36" t="s">
        <v>25</v>
      </c>
      <c r="AH7" s="42" t="s">
        <v>13</v>
      </c>
      <c r="AI7" s="43" t="s">
        <v>36</v>
      </c>
      <c r="AJ7" s="37" t="s">
        <v>13</v>
      </c>
      <c r="AK7" s="37" t="s">
        <v>13</v>
      </c>
    </row>
    <row r="8" spans="1:37" x14ac:dyDescent="0.3">
      <c r="A8" s="40" t="s">
        <v>31</v>
      </c>
      <c r="B8" s="35" t="s">
        <v>11</v>
      </c>
      <c r="C8" s="36" t="s">
        <v>30</v>
      </c>
      <c r="D8" s="36" t="s">
        <v>30</v>
      </c>
      <c r="E8" s="36" t="s">
        <v>30</v>
      </c>
      <c r="F8" s="36" t="s">
        <v>30</v>
      </c>
      <c r="G8" s="36" t="s">
        <v>30</v>
      </c>
      <c r="H8" s="37" t="s">
        <v>13</v>
      </c>
      <c r="I8" s="37" t="s">
        <v>13</v>
      </c>
      <c r="J8" s="36" t="s">
        <v>30</v>
      </c>
      <c r="K8" s="36" t="s">
        <v>30</v>
      </c>
      <c r="L8" s="36" t="s">
        <v>30</v>
      </c>
      <c r="M8" s="36" t="s">
        <v>30</v>
      </c>
      <c r="N8" s="36" t="s">
        <v>30</v>
      </c>
      <c r="O8" s="37" t="s">
        <v>13</v>
      </c>
      <c r="P8" s="37" t="s">
        <v>13</v>
      </c>
      <c r="Q8" s="36" t="s">
        <v>25</v>
      </c>
      <c r="R8" s="36" t="s">
        <v>25</v>
      </c>
      <c r="S8" s="36" t="s">
        <v>25</v>
      </c>
      <c r="T8" s="44" t="s">
        <v>58</v>
      </c>
      <c r="U8" s="36" t="s">
        <v>25</v>
      </c>
      <c r="V8" s="37" t="s">
        <v>13</v>
      </c>
      <c r="W8" s="37" t="s">
        <v>13</v>
      </c>
      <c r="X8" s="36" t="s">
        <v>25</v>
      </c>
      <c r="Y8" s="36" t="s">
        <v>25</v>
      </c>
      <c r="Z8" s="36" t="s">
        <v>25</v>
      </c>
      <c r="AA8" s="36" t="s">
        <v>25</v>
      </c>
      <c r="AB8" s="36" t="s">
        <v>25</v>
      </c>
      <c r="AC8" s="37" t="s">
        <v>13</v>
      </c>
      <c r="AD8" s="37" t="s">
        <v>13</v>
      </c>
      <c r="AE8" s="36" t="s">
        <v>25</v>
      </c>
      <c r="AF8" s="36" t="s">
        <v>25</v>
      </c>
      <c r="AG8" s="36" t="s">
        <v>25</v>
      </c>
      <c r="AH8" s="36" t="s">
        <v>25</v>
      </c>
      <c r="AI8" s="44" t="s">
        <v>58</v>
      </c>
      <c r="AJ8" s="37" t="s">
        <v>13</v>
      </c>
      <c r="AK8" s="37" t="s">
        <v>13</v>
      </c>
    </row>
    <row r="9" spans="1:37" x14ac:dyDescent="0.3">
      <c r="A9" s="40" t="s">
        <v>35</v>
      </c>
      <c r="B9" s="35" t="s">
        <v>18</v>
      </c>
      <c r="C9" s="35" t="s">
        <v>19</v>
      </c>
      <c r="D9" s="35" t="s">
        <v>19</v>
      </c>
      <c r="E9" s="35" t="s">
        <v>19</v>
      </c>
      <c r="F9" s="35" t="s">
        <v>19</v>
      </c>
      <c r="G9" s="35" t="s">
        <v>19</v>
      </c>
      <c r="H9" s="41" t="s">
        <v>27</v>
      </c>
      <c r="I9" s="37" t="s">
        <v>13</v>
      </c>
      <c r="J9" s="37" t="s">
        <v>13</v>
      </c>
      <c r="K9" s="35" t="s">
        <v>19</v>
      </c>
      <c r="L9" s="35" t="s">
        <v>19</v>
      </c>
      <c r="M9" s="35" t="s">
        <v>19</v>
      </c>
      <c r="N9" s="35" t="s">
        <v>19</v>
      </c>
      <c r="O9" s="37" t="s">
        <v>13</v>
      </c>
      <c r="P9" s="37" t="s">
        <v>13</v>
      </c>
      <c r="Q9" s="35" t="s">
        <v>19</v>
      </c>
      <c r="R9" s="35" t="s">
        <v>19</v>
      </c>
      <c r="S9" s="44" t="s">
        <v>58</v>
      </c>
      <c r="T9" s="35" t="s">
        <v>19</v>
      </c>
      <c r="U9" s="35" t="s">
        <v>19</v>
      </c>
      <c r="V9" s="37" t="s">
        <v>13</v>
      </c>
      <c r="W9" s="37" t="s">
        <v>13</v>
      </c>
      <c r="X9" s="35" t="s">
        <v>19</v>
      </c>
      <c r="Y9" s="35" t="s">
        <v>19</v>
      </c>
      <c r="Z9" s="35" t="s">
        <v>19</v>
      </c>
      <c r="AA9" s="35" t="s">
        <v>19</v>
      </c>
      <c r="AB9" s="35" t="s">
        <v>19</v>
      </c>
      <c r="AC9" s="41" t="s">
        <v>19</v>
      </c>
      <c r="AD9" s="37" t="s">
        <v>13</v>
      </c>
      <c r="AE9" s="40" t="s">
        <v>19</v>
      </c>
      <c r="AF9" s="35" t="s">
        <v>19</v>
      </c>
      <c r="AG9" s="37" t="s">
        <v>13</v>
      </c>
      <c r="AH9" s="35" t="s">
        <v>19</v>
      </c>
      <c r="AI9" s="35" t="s">
        <v>19</v>
      </c>
      <c r="AJ9" s="37" t="s">
        <v>13</v>
      </c>
      <c r="AK9" s="37" t="s">
        <v>13</v>
      </c>
    </row>
    <row r="10" spans="1:37" x14ac:dyDescent="0.3">
      <c r="A10" s="40" t="s">
        <v>39</v>
      </c>
      <c r="B10" s="35" t="s">
        <v>18</v>
      </c>
      <c r="C10" s="37" t="s">
        <v>13</v>
      </c>
      <c r="D10" s="35" t="s">
        <v>34</v>
      </c>
      <c r="E10" s="35" t="s">
        <v>34</v>
      </c>
      <c r="F10" s="35" t="s">
        <v>34</v>
      </c>
      <c r="G10" s="35" t="s">
        <v>34</v>
      </c>
      <c r="H10" s="41" t="s">
        <v>46</v>
      </c>
      <c r="I10" s="37" t="s">
        <v>13</v>
      </c>
      <c r="J10" s="35" t="s">
        <v>34</v>
      </c>
      <c r="K10" s="35" t="s">
        <v>34</v>
      </c>
      <c r="L10" s="35" t="s">
        <v>34</v>
      </c>
      <c r="M10" s="35" t="s">
        <v>34</v>
      </c>
      <c r="N10" s="35" t="s">
        <v>34</v>
      </c>
      <c r="O10" s="37" t="s">
        <v>13</v>
      </c>
      <c r="P10" s="37" t="s">
        <v>13</v>
      </c>
      <c r="Q10" s="35" t="s">
        <v>34</v>
      </c>
      <c r="R10" s="35" t="s">
        <v>34</v>
      </c>
      <c r="S10" s="35" t="s">
        <v>34</v>
      </c>
      <c r="T10" s="35" t="s">
        <v>34</v>
      </c>
      <c r="U10" s="35" t="s">
        <v>34</v>
      </c>
      <c r="V10" s="37" t="s">
        <v>13</v>
      </c>
      <c r="W10" s="37" t="s">
        <v>13</v>
      </c>
      <c r="X10" s="43" t="s">
        <v>36</v>
      </c>
      <c r="Y10" s="35" t="s">
        <v>34</v>
      </c>
      <c r="Z10" s="35" t="s">
        <v>34</v>
      </c>
      <c r="AA10" s="35" t="s">
        <v>34</v>
      </c>
      <c r="AB10" s="35" t="s">
        <v>34</v>
      </c>
      <c r="AC10" s="41" t="s">
        <v>34</v>
      </c>
      <c r="AD10" s="37" t="s">
        <v>13</v>
      </c>
      <c r="AE10" s="37" t="s">
        <v>13</v>
      </c>
      <c r="AF10" s="35" t="s">
        <v>34</v>
      </c>
      <c r="AG10" s="35" t="s">
        <v>34</v>
      </c>
      <c r="AH10" s="35" t="s">
        <v>34</v>
      </c>
      <c r="AI10" s="35" t="s">
        <v>34</v>
      </c>
      <c r="AJ10" s="37" t="s">
        <v>13</v>
      </c>
      <c r="AK10" s="37" t="s">
        <v>13</v>
      </c>
    </row>
    <row r="11" spans="1:37" x14ac:dyDescent="0.3">
      <c r="A11" s="40" t="s">
        <v>43</v>
      </c>
      <c r="B11" s="35" t="s">
        <v>18</v>
      </c>
      <c r="C11" s="37" t="s">
        <v>13</v>
      </c>
      <c r="D11" s="35" t="s">
        <v>19</v>
      </c>
      <c r="E11" s="35" t="s">
        <v>19</v>
      </c>
      <c r="F11" s="35" t="s">
        <v>19</v>
      </c>
      <c r="G11" s="35" t="s">
        <v>19</v>
      </c>
      <c r="H11" s="37" t="s">
        <v>13</v>
      </c>
      <c r="I11" s="37" t="s">
        <v>13</v>
      </c>
      <c r="J11" s="35" t="s">
        <v>19</v>
      </c>
      <c r="K11" s="35" t="s">
        <v>19</v>
      </c>
      <c r="L11" s="35" t="s">
        <v>19</v>
      </c>
      <c r="M11" s="35" t="s">
        <v>19</v>
      </c>
      <c r="N11" s="35" t="s">
        <v>19</v>
      </c>
      <c r="O11" s="41" t="s">
        <v>34</v>
      </c>
      <c r="P11" s="37" t="s">
        <v>13</v>
      </c>
      <c r="Q11" s="35" t="s">
        <v>34</v>
      </c>
      <c r="R11" s="35" t="s">
        <v>34</v>
      </c>
      <c r="S11" s="35" t="s">
        <v>34</v>
      </c>
      <c r="T11" s="35" t="s">
        <v>34</v>
      </c>
      <c r="U11" s="35" t="s">
        <v>34</v>
      </c>
      <c r="V11" s="37" t="s">
        <v>13</v>
      </c>
      <c r="W11" s="37" t="s">
        <v>13</v>
      </c>
      <c r="X11" s="35" t="s">
        <v>34</v>
      </c>
      <c r="Y11" s="43" t="s">
        <v>36</v>
      </c>
      <c r="Z11" s="45" t="s">
        <v>59</v>
      </c>
      <c r="AA11" s="35" t="s">
        <v>34</v>
      </c>
      <c r="AB11" s="35" t="s">
        <v>34</v>
      </c>
      <c r="AC11" s="37" t="s">
        <v>13</v>
      </c>
      <c r="AD11" s="37" t="s">
        <v>13</v>
      </c>
      <c r="AE11" s="35" t="s">
        <v>42</v>
      </c>
      <c r="AF11" s="35" t="s">
        <v>42</v>
      </c>
      <c r="AG11" s="35" t="s">
        <v>42</v>
      </c>
      <c r="AH11" s="35" t="s">
        <v>42</v>
      </c>
      <c r="AI11" s="35" t="s">
        <v>42</v>
      </c>
      <c r="AJ11" s="21" t="s">
        <v>42</v>
      </c>
      <c r="AK11" s="37" t="s">
        <v>13</v>
      </c>
    </row>
    <row r="12" spans="1:37" x14ac:dyDescent="0.3">
      <c r="A12" s="40" t="s">
        <v>44</v>
      </c>
      <c r="B12" s="35" t="s">
        <v>18</v>
      </c>
      <c r="C12" s="35" t="s">
        <v>34</v>
      </c>
      <c r="D12" s="35" t="s">
        <v>34</v>
      </c>
      <c r="E12" s="35" t="s">
        <v>34</v>
      </c>
      <c r="F12" s="35" t="s">
        <v>34</v>
      </c>
      <c r="G12" s="35" t="s">
        <v>34</v>
      </c>
      <c r="H12" s="37" t="s">
        <v>13</v>
      </c>
      <c r="I12" s="37" t="s">
        <v>13</v>
      </c>
      <c r="J12" s="37" t="s">
        <v>13</v>
      </c>
      <c r="K12" s="35" t="s">
        <v>34</v>
      </c>
      <c r="L12" s="35" t="s">
        <v>34</v>
      </c>
      <c r="M12" s="35" t="s">
        <v>34</v>
      </c>
      <c r="N12" s="35" t="s">
        <v>34</v>
      </c>
      <c r="O12" s="41" t="s">
        <v>19</v>
      </c>
      <c r="P12" s="37" t="s">
        <v>13</v>
      </c>
      <c r="Q12" s="35" t="s">
        <v>42</v>
      </c>
      <c r="R12" s="35" t="s">
        <v>42</v>
      </c>
      <c r="S12" s="35" t="s">
        <v>42</v>
      </c>
      <c r="T12" s="35" t="s">
        <v>42</v>
      </c>
      <c r="U12" s="35" t="s">
        <v>42</v>
      </c>
      <c r="V12" s="37" t="s">
        <v>13</v>
      </c>
      <c r="W12" s="37" t="s">
        <v>13</v>
      </c>
      <c r="X12" s="35" t="s">
        <v>42</v>
      </c>
      <c r="Y12" s="35" t="s">
        <v>42</v>
      </c>
      <c r="Z12" s="35" t="s">
        <v>42</v>
      </c>
      <c r="AA12" s="35" t="s">
        <v>42</v>
      </c>
      <c r="AB12" s="35" t="s">
        <v>42</v>
      </c>
      <c r="AC12" s="37" t="s">
        <v>13</v>
      </c>
      <c r="AD12" s="37" t="s">
        <v>13</v>
      </c>
      <c r="AE12" s="40" t="s">
        <v>19</v>
      </c>
      <c r="AF12" s="35" t="s">
        <v>19</v>
      </c>
      <c r="AG12" s="35" t="s">
        <v>19</v>
      </c>
      <c r="AH12" s="35" t="s">
        <v>19</v>
      </c>
      <c r="AI12" s="35" t="s">
        <v>19</v>
      </c>
      <c r="AJ12" s="21" t="s">
        <v>19</v>
      </c>
      <c r="AK12" s="37" t="s">
        <v>13</v>
      </c>
    </row>
    <row r="13" spans="1:37" x14ac:dyDescent="0.3">
      <c r="A13" s="40" t="s">
        <v>45</v>
      </c>
      <c r="B13" s="35" t="s">
        <v>18</v>
      </c>
      <c r="C13" s="35" t="s">
        <v>42</v>
      </c>
      <c r="D13" s="35" t="s">
        <v>42</v>
      </c>
      <c r="E13" s="35" t="s">
        <v>42</v>
      </c>
      <c r="F13" s="35" t="s">
        <v>42</v>
      </c>
      <c r="G13" s="35" t="s">
        <v>42</v>
      </c>
      <c r="H13" s="37" t="s">
        <v>13</v>
      </c>
      <c r="I13" s="37" t="s">
        <v>13</v>
      </c>
      <c r="J13" s="35" t="s">
        <v>42</v>
      </c>
      <c r="K13" s="35" t="s">
        <v>42</v>
      </c>
      <c r="L13" s="35" t="s">
        <v>42</v>
      </c>
      <c r="M13" s="35" t="s">
        <v>42</v>
      </c>
      <c r="N13" s="35" t="s">
        <v>42</v>
      </c>
      <c r="O13" s="41" t="s">
        <v>42</v>
      </c>
      <c r="P13" s="37" t="s">
        <v>13</v>
      </c>
      <c r="Q13" s="35" t="s">
        <v>19</v>
      </c>
      <c r="R13" s="35" t="s">
        <v>19</v>
      </c>
      <c r="S13" s="35" t="s">
        <v>19</v>
      </c>
      <c r="T13" s="35" t="s">
        <v>19</v>
      </c>
      <c r="U13" s="45" t="s">
        <v>59</v>
      </c>
      <c r="V13" s="37" t="s">
        <v>13</v>
      </c>
      <c r="W13" s="37" t="s">
        <v>13</v>
      </c>
      <c r="X13" s="35" t="s">
        <v>19</v>
      </c>
      <c r="Y13" s="43" t="s">
        <v>36</v>
      </c>
      <c r="Z13" s="45" t="s">
        <v>59</v>
      </c>
      <c r="AA13" s="37" t="s">
        <v>13</v>
      </c>
      <c r="AB13" s="35" t="s">
        <v>19</v>
      </c>
      <c r="AC13" s="37" t="s">
        <v>13</v>
      </c>
      <c r="AD13" s="37" t="s">
        <v>13</v>
      </c>
      <c r="AE13" s="40" t="s">
        <v>34</v>
      </c>
      <c r="AF13" s="40" t="s">
        <v>34</v>
      </c>
      <c r="AG13" s="40" t="s">
        <v>34</v>
      </c>
      <c r="AH13" s="40" t="s">
        <v>34</v>
      </c>
      <c r="AI13" s="40" t="s">
        <v>34</v>
      </c>
      <c r="AJ13" s="21" t="s">
        <v>34</v>
      </c>
      <c r="AK13" s="37" t="s">
        <v>13</v>
      </c>
    </row>
    <row r="14" spans="1:37" x14ac:dyDescent="0.3">
      <c r="A14" s="40" t="s">
        <v>49</v>
      </c>
      <c r="B14" s="35" t="s">
        <v>18</v>
      </c>
      <c r="C14" s="35" t="s">
        <v>34</v>
      </c>
      <c r="D14" s="35" t="s">
        <v>34</v>
      </c>
      <c r="E14" s="35" t="s">
        <v>34</v>
      </c>
      <c r="F14" s="35" t="s">
        <v>34</v>
      </c>
      <c r="G14" s="45" t="s">
        <v>59</v>
      </c>
      <c r="H14" s="37" t="s">
        <v>13</v>
      </c>
      <c r="I14" s="37" t="s">
        <v>13</v>
      </c>
      <c r="J14" s="35" t="s">
        <v>34</v>
      </c>
      <c r="K14" s="37" t="s">
        <v>13</v>
      </c>
      <c r="L14" s="35" t="s">
        <v>34</v>
      </c>
      <c r="M14" s="35" t="s">
        <v>34</v>
      </c>
      <c r="N14" s="35" t="s">
        <v>34</v>
      </c>
      <c r="O14" s="37" t="s">
        <v>13</v>
      </c>
      <c r="P14" s="37" t="s">
        <v>13</v>
      </c>
      <c r="Q14" s="35" t="s">
        <v>42</v>
      </c>
      <c r="R14" s="35" t="s">
        <v>42</v>
      </c>
      <c r="S14" s="35" t="s">
        <v>42</v>
      </c>
      <c r="T14" s="35" t="s">
        <v>42</v>
      </c>
      <c r="U14" s="35" t="s">
        <v>42</v>
      </c>
      <c r="V14" s="37" t="s">
        <v>13</v>
      </c>
      <c r="W14" s="37" t="s">
        <v>13</v>
      </c>
      <c r="X14" s="35" t="s">
        <v>42</v>
      </c>
      <c r="Y14" s="35" t="s">
        <v>42</v>
      </c>
      <c r="Z14" s="35" t="s">
        <v>42</v>
      </c>
      <c r="AA14" s="35" t="s">
        <v>42</v>
      </c>
      <c r="AB14" s="35" t="s">
        <v>42</v>
      </c>
      <c r="AC14" s="41" t="s">
        <v>42</v>
      </c>
      <c r="AD14" s="37" t="s">
        <v>13</v>
      </c>
      <c r="AE14" s="40" t="s">
        <v>19</v>
      </c>
      <c r="AF14" s="35" t="s">
        <v>19</v>
      </c>
      <c r="AG14" s="35" t="s">
        <v>19</v>
      </c>
      <c r="AH14" s="35" t="s">
        <v>19</v>
      </c>
      <c r="AI14" s="35" t="s">
        <v>19</v>
      </c>
      <c r="AJ14" s="37" t="s">
        <v>13</v>
      </c>
      <c r="AK14" s="37" t="s">
        <v>13</v>
      </c>
    </row>
    <row r="15" spans="1:37" x14ac:dyDescent="0.3">
      <c r="A15" s="40" t="s">
        <v>52</v>
      </c>
      <c r="B15" s="35" t="s">
        <v>18</v>
      </c>
      <c r="C15" s="35" t="s">
        <v>42</v>
      </c>
      <c r="D15" s="45" t="s">
        <v>59</v>
      </c>
      <c r="E15" s="35" t="s">
        <v>42</v>
      </c>
      <c r="F15" s="35" t="s">
        <v>42</v>
      </c>
      <c r="G15" s="35" t="s">
        <v>42</v>
      </c>
      <c r="H15" s="37" t="s">
        <v>13</v>
      </c>
      <c r="I15" s="37" t="s">
        <v>13</v>
      </c>
      <c r="J15" s="35" t="s">
        <v>42</v>
      </c>
      <c r="K15" s="35" t="s">
        <v>42</v>
      </c>
      <c r="L15" s="35" t="s">
        <v>42</v>
      </c>
      <c r="M15" s="35" t="s">
        <v>42</v>
      </c>
      <c r="N15" s="45" t="s">
        <v>59</v>
      </c>
      <c r="O15" s="37" t="s">
        <v>13</v>
      </c>
      <c r="P15" s="37" t="s">
        <v>13</v>
      </c>
      <c r="Q15" s="35" t="s">
        <v>19</v>
      </c>
      <c r="R15" s="35" t="s">
        <v>19</v>
      </c>
      <c r="S15" s="35" t="s">
        <v>19</v>
      </c>
      <c r="T15" s="45" t="s">
        <v>59</v>
      </c>
      <c r="U15" s="35" t="s">
        <v>19</v>
      </c>
      <c r="V15" s="41" t="s">
        <v>34</v>
      </c>
      <c r="W15" s="37" t="s">
        <v>13</v>
      </c>
      <c r="X15" s="37" t="s">
        <v>13</v>
      </c>
      <c r="Y15" s="35" t="s">
        <v>19</v>
      </c>
      <c r="Z15" s="35" t="s">
        <v>19</v>
      </c>
      <c r="AA15" s="35" t="s">
        <v>19</v>
      </c>
      <c r="AB15" s="45" t="s">
        <v>59</v>
      </c>
      <c r="AC15" s="37" t="s">
        <v>13</v>
      </c>
      <c r="AD15" s="37" t="s">
        <v>13</v>
      </c>
      <c r="AE15" s="35" t="s">
        <v>19</v>
      </c>
      <c r="AF15" s="35" t="s">
        <v>19</v>
      </c>
      <c r="AG15" s="35" t="s">
        <v>19</v>
      </c>
      <c r="AH15" s="35" t="s">
        <v>19</v>
      </c>
      <c r="AI15" s="35" t="s">
        <v>19</v>
      </c>
      <c r="AJ15" s="37" t="s">
        <v>13</v>
      </c>
      <c r="AK15" s="37" t="s">
        <v>13</v>
      </c>
    </row>
    <row r="16" spans="1:37" x14ac:dyDescent="0.3">
      <c r="A16" s="40" t="s">
        <v>54</v>
      </c>
      <c r="B16" s="35" t="s">
        <v>18</v>
      </c>
      <c r="C16" s="43" t="s">
        <v>36</v>
      </c>
      <c r="D16" s="43" t="s">
        <v>36</v>
      </c>
      <c r="E16" s="43" t="s">
        <v>36</v>
      </c>
      <c r="F16" s="43" t="s">
        <v>36</v>
      </c>
      <c r="G16" s="43" t="s">
        <v>36</v>
      </c>
      <c r="H16" s="37" t="s">
        <v>13</v>
      </c>
      <c r="I16" s="37" t="s">
        <v>13</v>
      </c>
      <c r="J16" s="35" t="s">
        <v>19</v>
      </c>
      <c r="K16" s="35" t="s">
        <v>19</v>
      </c>
      <c r="L16" s="35" t="s">
        <v>19</v>
      </c>
      <c r="M16" s="35" t="s">
        <v>19</v>
      </c>
      <c r="N16" s="35" t="s">
        <v>19</v>
      </c>
      <c r="O16" s="37" t="s">
        <v>13</v>
      </c>
      <c r="P16" s="37" t="s">
        <v>13</v>
      </c>
      <c r="Q16" s="37" t="s">
        <v>13</v>
      </c>
      <c r="R16" s="35" t="s">
        <v>34</v>
      </c>
      <c r="S16" s="35" t="s">
        <v>34</v>
      </c>
      <c r="T16" s="35" t="s">
        <v>34</v>
      </c>
      <c r="U16" s="35" t="s">
        <v>34</v>
      </c>
      <c r="V16" s="41" t="s">
        <v>19</v>
      </c>
      <c r="W16" s="37" t="s">
        <v>13</v>
      </c>
      <c r="X16" s="35" t="s">
        <v>34</v>
      </c>
      <c r="Y16" s="35" t="s">
        <v>34</v>
      </c>
      <c r="Z16" s="35" t="s">
        <v>34</v>
      </c>
      <c r="AA16" s="35" t="s">
        <v>34</v>
      </c>
      <c r="AB16" s="35" t="s">
        <v>34</v>
      </c>
      <c r="AC16" s="37" t="s">
        <v>13</v>
      </c>
      <c r="AD16" s="37" t="s">
        <v>13</v>
      </c>
      <c r="AE16" s="35" t="s">
        <v>34</v>
      </c>
      <c r="AF16" s="35" t="s">
        <v>34</v>
      </c>
      <c r="AG16" s="35" t="s">
        <v>34</v>
      </c>
      <c r="AH16" s="35" t="s">
        <v>34</v>
      </c>
      <c r="AI16" s="35" t="s">
        <v>42</v>
      </c>
      <c r="AJ16" s="37" t="s">
        <v>13</v>
      </c>
      <c r="AK16" s="37" t="s">
        <v>13</v>
      </c>
    </row>
    <row r="17" spans="1:37" x14ac:dyDescent="0.3">
      <c r="A17" s="28"/>
      <c r="B17" s="28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</row>
    <row r="18" spans="1:37" x14ac:dyDescent="0.3">
      <c r="A18" s="77" t="s">
        <v>16</v>
      </c>
      <c r="B18" s="78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</row>
    <row r="19" spans="1:37" x14ac:dyDescent="0.3">
      <c r="A19" s="9" t="s">
        <v>47</v>
      </c>
      <c r="B19" s="21" t="s">
        <v>46</v>
      </c>
      <c r="C19" s="85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</row>
    <row r="20" spans="1:37" x14ac:dyDescent="0.3">
      <c r="A20" s="9" t="s">
        <v>50</v>
      </c>
      <c r="B20" s="21" t="s">
        <v>27</v>
      </c>
      <c r="C20" s="85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</row>
    <row r="21" spans="1:37" x14ac:dyDescent="0.3">
      <c r="A21" s="9" t="s">
        <v>53</v>
      </c>
      <c r="B21" s="22" t="s">
        <v>13</v>
      </c>
      <c r="C21" s="85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</row>
    <row r="22" spans="1:37" x14ac:dyDescent="0.3">
      <c r="A22" s="9" t="s">
        <v>60</v>
      </c>
      <c r="B22" s="45" t="s">
        <v>59</v>
      </c>
      <c r="C22" s="85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</row>
    <row r="23" spans="1:37" x14ac:dyDescent="0.3">
      <c r="A23" s="9" t="s">
        <v>55</v>
      </c>
      <c r="B23" s="19" t="s">
        <v>36</v>
      </c>
      <c r="C23" s="85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</row>
    <row r="24" spans="1:37" x14ac:dyDescent="0.3">
      <c r="A24" s="9" t="s">
        <v>61</v>
      </c>
      <c r="B24" s="46" t="s">
        <v>58</v>
      </c>
      <c r="C24" s="85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</row>
  </sheetData>
  <mergeCells count="125">
    <mergeCell ref="AG24:AI24"/>
    <mergeCell ref="AJ24:AK24"/>
    <mergeCell ref="R24:T24"/>
    <mergeCell ref="U24:V24"/>
    <mergeCell ref="W24:X24"/>
    <mergeCell ref="Y24:Z24"/>
    <mergeCell ref="AA24:AC24"/>
    <mergeCell ref="AD24:AF24"/>
    <mergeCell ref="C24:D24"/>
    <mergeCell ref="E24:F24"/>
    <mergeCell ref="G24:H24"/>
    <mergeCell ref="I24:K24"/>
    <mergeCell ref="L24:N24"/>
    <mergeCell ref="O24:Q24"/>
    <mergeCell ref="W23:X23"/>
    <mergeCell ref="Y23:Z23"/>
    <mergeCell ref="AA23:AC23"/>
    <mergeCell ref="AD23:AF23"/>
    <mergeCell ref="AG23:AI23"/>
    <mergeCell ref="AJ23:AK23"/>
    <mergeCell ref="AG22:AI22"/>
    <mergeCell ref="AJ22:AK22"/>
    <mergeCell ref="C23:D23"/>
    <mergeCell ref="E23:F23"/>
    <mergeCell ref="G23:H23"/>
    <mergeCell ref="I23:K23"/>
    <mergeCell ref="L23:N23"/>
    <mergeCell ref="O23:Q23"/>
    <mergeCell ref="R23:T23"/>
    <mergeCell ref="U23:V23"/>
    <mergeCell ref="R22:T22"/>
    <mergeCell ref="U22:V22"/>
    <mergeCell ref="W22:X22"/>
    <mergeCell ref="Y22:Z22"/>
    <mergeCell ref="AA22:AC22"/>
    <mergeCell ref="AD22:AF22"/>
    <mergeCell ref="C22:D22"/>
    <mergeCell ref="E22:F22"/>
    <mergeCell ref="G22:H22"/>
    <mergeCell ref="I22:K22"/>
    <mergeCell ref="L22:N22"/>
    <mergeCell ref="O22:Q22"/>
    <mergeCell ref="W21:X21"/>
    <mergeCell ref="Y21:Z21"/>
    <mergeCell ref="AA21:AC21"/>
    <mergeCell ref="AD21:AF21"/>
    <mergeCell ref="AG21:AI21"/>
    <mergeCell ref="AJ21:AK21"/>
    <mergeCell ref="AG20:AI20"/>
    <mergeCell ref="AJ20:AK20"/>
    <mergeCell ref="C21:D21"/>
    <mergeCell ref="E21:F21"/>
    <mergeCell ref="G21:H21"/>
    <mergeCell ref="I21:K21"/>
    <mergeCell ref="L21:N21"/>
    <mergeCell ref="O21:Q21"/>
    <mergeCell ref="R21:T21"/>
    <mergeCell ref="U21:V21"/>
    <mergeCell ref="R20:T20"/>
    <mergeCell ref="U20:V20"/>
    <mergeCell ref="W20:X20"/>
    <mergeCell ref="Y20:Z20"/>
    <mergeCell ref="AA20:AC20"/>
    <mergeCell ref="AD20:AF20"/>
    <mergeCell ref="C20:D20"/>
    <mergeCell ref="E20:F20"/>
    <mergeCell ref="G20:H20"/>
    <mergeCell ref="I20:K20"/>
    <mergeCell ref="L20:N20"/>
    <mergeCell ref="O20:Q20"/>
    <mergeCell ref="W19:X19"/>
    <mergeCell ref="Y19:Z19"/>
    <mergeCell ref="AA19:AC19"/>
    <mergeCell ref="AD19:AF19"/>
    <mergeCell ref="AG19:AI19"/>
    <mergeCell ref="AJ19:AK19"/>
    <mergeCell ref="AG18:AI18"/>
    <mergeCell ref="AJ18:AK18"/>
    <mergeCell ref="C19:D19"/>
    <mergeCell ref="E19:F19"/>
    <mergeCell ref="G19:H19"/>
    <mergeCell ref="I19:K19"/>
    <mergeCell ref="L19:N19"/>
    <mergeCell ref="O19:Q19"/>
    <mergeCell ref="R19:T19"/>
    <mergeCell ref="U19:V19"/>
    <mergeCell ref="R18:T18"/>
    <mergeCell ref="U18:V18"/>
    <mergeCell ref="W18:X18"/>
    <mergeCell ref="Y18:Z18"/>
    <mergeCell ref="AA18:AC18"/>
    <mergeCell ref="AD18:AF18"/>
    <mergeCell ref="AG17:AI17"/>
    <mergeCell ref="AJ17:AK17"/>
    <mergeCell ref="A18:B18"/>
    <mergeCell ref="C18:D18"/>
    <mergeCell ref="E18:F18"/>
    <mergeCell ref="G18:H18"/>
    <mergeCell ref="I18:K18"/>
    <mergeCell ref="L18:N18"/>
    <mergeCell ref="O18:Q18"/>
    <mergeCell ref="O17:Q17"/>
    <mergeCell ref="R17:T17"/>
    <mergeCell ref="U17:V17"/>
    <mergeCell ref="W17:X17"/>
    <mergeCell ref="Y17:Z17"/>
    <mergeCell ref="AA17:AC17"/>
    <mergeCell ref="C17:D17"/>
    <mergeCell ref="E17:F17"/>
    <mergeCell ref="G17:H17"/>
    <mergeCell ref="I17:K17"/>
    <mergeCell ref="L17:N17"/>
    <mergeCell ref="A2:B2"/>
    <mergeCell ref="R1:S1"/>
    <mergeCell ref="T1:V1"/>
    <mergeCell ref="W1:X1"/>
    <mergeCell ref="AD17:AF17"/>
    <mergeCell ref="Y1:AA1"/>
    <mergeCell ref="AB1:AC1"/>
    <mergeCell ref="C1:E1"/>
    <mergeCell ref="F1:H1"/>
    <mergeCell ref="I1:J1"/>
    <mergeCell ref="K1:M1"/>
    <mergeCell ref="N1:O1"/>
    <mergeCell ref="P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F62C-B50C-42BD-88E9-4E45D8118CC9}">
  <dimension ref="A1:AJ27"/>
  <sheetViews>
    <sheetView workbookViewId="0">
      <selection activeCell="AH17" sqref="AH17:AI17"/>
    </sheetView>
  </sheetViews>
  <sheetFormatPr defaultRowHeight="14.4" x14ac:dyDescent="0.3"/>
  <cols>
    <col min="1" max="1" width="15.21875" bestFit="1" customWidth="1"/>
    <col min="2" max="2" width="9.5546875" bestFit="1" customWidth="1"/>
    <col min="3" max="4" width="3.44140625" bestFit="1" customWidth="1"/>
    <col min="5" max="5" width="3.5546875" bestFit="1" customWidth="1"/>
    <col min="6" max="6" width="3.21875" bestFit="1" customWidth="1"/>
    <col min="7" max="7" width="3.44140625" bestFit="1" customWidth="1"/>
    <col min="8" max="8" width="3.21875" bestFit="1" customWidth="1"/>
    <col min="9" max="9" width="3.5546875" bestFit="1" customWidth="1"/>
    <col min="10" max="12" width="3.44140625" bestFit="1" customWidth="1"/>
    <col min="13" max="13" width="3.21875" bestFit="1" customWidth="1"/>
    <col min="14" max="14" width="3.44140625" bestFit="1" customWidth="1"/>
    <col min="15" max="15" width="3.21875" bestFit="1" customWidth="1"/>
    <col min="16" max="20" width="3.44140625" bestFit="1" customWidth="1"/>
    <col min="21" max="22" width="3.21875" bestFit="1" customWidth="1"/>
    <col min="23" max="25" width="3.44140625" bestFit="1" customWidth="1"/>
    <col min="26" max="27" width="3.5546875" bestFit="1" customWidth="1"/>
    <col min="28" max="28" width="3.21875" bestFit="1" customWidth="1"/>
    <col min="29" max="30" width="3.5546875" bestFit="1" customWidth="1"/>
    <col min="31" max="32" width="3.44140625" bestFit="1" customWidth="1"/>
    <col min="34" max="34" width="13.21875" bestFit="1" customWidth="1"/>
    <col min="35" max="35" width="17" bestFit="1" customWidth="1"/>
    <col min="36" max="36" width="4.77734375" bestFit="1" customWidth="1"/>
  </cols>
  <sheetData>
    <row r="1" spans="1:36" x14ac:dyDescent="0.3">
      <c r="A1" s="28"/>
      <c r="B1" s="28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28"/>
      <c r="AH1" s="28"/>
      <c r="AI1" s="28"/>
      <c r="AJ1" s="28"/>
    </row>
    <row r="2" spans="1:36" ht="14.55" customHeight="1" x14ac:dyDescent="0.3">
      <c r="A2" s="80" t="s">
        <v>62</v>
      </c>
      <c r="B2" s="81"/>
      <c r="C2" s="48">
        <v>1</v>
      </c>
      <c r="D2" s="48">
        <v>2</v>
      </c>
      <c r="E2" s="48">
        <v>3</v>
      </c>
      <c r="F2" s="48">
        <v>4</v>
      </c>
      <c r="G2" s="48">
        <v>5</v>
      </c>
      <c r="H2" s="48">
        <v>6</v>
      </c>
      <c r="I2" s="48">
        <v>7</v>
      </c>
      <c r="J2" s="48">
        <v>8</v>
      </c>
      <c r="K2" s="48">
        <v>9</v>
      </c>
      <c r="L2" s="48">
        <v>10</v>
      </c>
      <c r="M2" s="48">
        <v>11</v>
      </c>
      <c r="N2" s="48">
        <v>12</v>
      </c>
      <c r="O2" s="48">
        <v>13</v>
      </c>
      <c r="P2" s="48">
        <v>14</v>
      </c>
      <c r="Q2" s="48">
        <v>15</v>
      </c>
      <c r="R2" s="48">
        <v>16</v>
      </c>
      <c r="S2" s="48">
        <v>17</v>
      </c>
      <c r="T2" s="48">
        <v>18</v>
      </c>
      <c r="U2" s="48">
        <v>19</v>
      </c>
      <c r="V2" s="48">
        <v>20</v>
      </c>
      <c r="W2" s="48">
        <v>21</v>
      </c>
      <c r="X2" s="48">
        <v>22</v>
      </c>
      <c r="Y2" s="48">
        <v>23</v>
      </c>
      <c r="Z2" s="48">
        <v>24</v>
      </c>
      <c r="AA2" s="48">
        <v>25</v>
      </c>
      <c r="AB2" s="48">
        <v>26</v>
      </c>
      <c r="AC2" s="48">
        <v>27</v>
      </c>
      <c r="AD2" s="48">
        <v>28</v>
      </c>
      <c r="AE2" s="48">
        <v>29</v>
      </c>
      <c r="AF2" s="48">
        <v>30</v>
      </c>
      <c r="AG2" s="28"/>
      <c r="AH2" s="12" t="s">
        <v>14</v>
      </c>
      <c r="AI2" s="12" t="s">
        <v>15</v>
      </c>
      <c r="AJ2" s="13" t="s">
        <v>16</v>
      </c>
    </row>
    <row r="3" spans="1:36" ht="22.2" x14ac:dyDescent="0.3">
      <c r="A3" s="30" t="s">
        <v>1</v>
      </c>
      <c r="B3" s="31" t="s">
        <v>2</v>
      </c>
      <c r="C3" s="49" t="s">
        <v>8</v>
      </c>
      <c r="D3" s="49" t="s">
        <v>9</v>
      </c>
      <c r="E3" s="50" t="s">
        <v>3</v>
      </c>
      <c r="F3" s="50" t="s">
        <v>4</v>
      </c>
      <c r="G3" s="50" t="s">
        <v>5</v>
      </c>
      <c r="H3" s="50" t="s">
        <v>6</v>
      </c>
      <c r="I3" s="50" t="s">
        <v>7</v>
      </c>
      <c r="J3" s="49" t="s">
        <v>8</v>
      </c>
      <c r="K3" s="49" t="s">
        <v>9</v>
      </c>
      <c r="L3" s="50" t="s">
        <v>3</v>
      </c>
      <c r="M3" s="50" t="s">
        <v>4</v>
      </c>
      <c r="N3" s="50" t="s">
        <v>5</v>
      </c>
      <c r="O3" s="50" t="s">
        <v>6</v>
      </c>
      <c r="P3" s="50" t="s">
        <v>7</v>
      </c>
      <c r="Q3" s="51" t="s">
        <v>8</v>
      </c>
      <c r="R3" s="51" t="s">
        <v>9</v>
      </c>
      <c r="S3" s="50" t="s">
        <v>3</v>
      </c>
      <c r="T3" s="50" t="s">
        <v>4</v>
      </c>
      <c r="U3" s="50" t="s">
        <v>5</v>
      </c>
      <c r="V3" s="50" t="s">
        <v>6</v>
      </c>
      <c r="W3" s="50" t="s">
        <v>7</v>
      </c>
      <c r="X3" s="51" t="s">
        <v>8</v>
      </c>
      <c r="Y3" s="51" t="s">
        <v>9</v>
      </c>
      <c r="Z3" s="50" t="s">
        <v>3</v>
      </c>
      <c r="AA3" s="50" t="s">
        <v>4</v>
      </c>
      <c r="AB3" s="50" t="s">
        <v>5</v>
      </c>
      <c r="AC3" s="50" t="s">
        <v>6</v>
      </c>
      <c r="AD3" s="50" t="s">
        <v>7</v>
      </c>
      <c r="AE3" s="49" t="s">
        <v>8</v>
      </c>
      <c r="AF3" s="49" t="s">
        <v>9</v>
      </c>
      <c r="AG3" s="28"/>
      <c r="AH3" s="9" t="s">
        <v>20</v>
      </c>
      <c r="AI3" s="14" t="s">
        <v>21</v>
      </c>
      <c r="AJ3" s="15" t="s">
        <v>12</v>
      </c>
    </row>
    <row r="4" spans="1:36" x14ac:dyDescent="0.3">
      <c r="A4" s="34" t="s">
        <v>10</v>
      </c>
      <c r="B4" s="35" t="s">
        <v>11</v>
      </c>
      <c r="C4" s="51" t="s">
        <v>13</v>
      </c>
      <c r="D4" s="51" t="s">
        <v>13</v>
      </c>
      <c r="E4" s="14" t="s">
        <v>12</v>
      </c>
      <c r="F4" s="52" t="s">
        <v>12</v>
      </c>
      <c r="G4" s="52" t="s">
        <v>12</v>
      </c>
      <c r="H4" s="52" t="s">
        <v>12</v>
      </c>
      <c r="I4" s="52" t="s">
        <v>12</v>
      </c>
      <c r="J4" s="51" t="s">
        <v>13</v>
      </c>
      <c r="K4" s="51" t="s">
        <v>13</v>
      </c>
      <c r="L4" s="14" t="s">
        <v>12</v>
      </c>
      <c r="M4" s="52" t="s">
        <v>12</v>
      </c>
      <c r="N4" s="52" t="s">
        <v>12</v>
      </c>
      <c r="O4" s="52" t="s">
        <v>12</v>
      </c>
      <c r="P4" s="52" t="s">
        <v>12</v>
      </c>
      <c r="Q4" s="51" t="s">
        <v>13</v>
      </c>
      <c r="R4" s="51" t="s">
        <v>13</v>
      </c>
      <c r="S4" s="14" t="s">
        <v>12</v>
      </c>
      <c r="T4" s="52" t="s">
        <v>12</v>
      </c>
      <c r="U4" s="52" t="s">
        <v>12</v>
      </c>
      <c r="V4" s="52" t="s">
        <v>12</v>
      </c>
      <c r="W4" s="52" t="s">
        <v>12</v>
      </c>
      <c r="X4" s="51" t="s">
        <v>13</v>
      </c>
      <c r="Y4" s="51" t="s">
        <v>13</v>
      </c>
      <c r="Z4" s="14" t="s">
        <v>12</v>
      </c>
      <c r="AA4" s="52" t="s">
        <v>12</v>
      </c>
      <c r="AB4" s="52" t="s">
        <v>12</v>
      </c>
      <c r="AC4" s="52" t="s">
        <v>12</v>
      </c>
      <c r="AD4" s="52" t="s">
        <v>12</v>
      </c>
      <c r="AE4" s="51" t="s">
        <v>13</v>
      </c>
      <c r="AF4" s="51" t="s">
        <v>13</v>
      </c>
      <c r="AG4" s="28"/>
      <c r="AH4" s="9" t="s">
        <v>23</v>
      </c>
      <c r="AI4" s="14" t="s">
        <v>63</v>
      </c>
      <c r="AJ4" s="15" t="s">
        <v>25</v>
      </c>
    </row>
    <row r="5" spans="1:36" x14ac:dyDescent="0.3">
      <c r="A5" s="34" t="s">
        <v>17</v>
      </c>
      <c r="B5" s="35" t="s">
        <v>18</v>
      </c>
      <c r="C5" s="51" t="s">
        <v>13</v>
      </c>
      <c r="D5" s="51" t="s">
        <v>13</v>
      </c>
      <c r="E5" s="53" t="s">
        <v>19</v>
      </c>
      <c r="F5" s="54" t="s">
        <v>19</v>
      </c>
      <c r="G5" s="54" t="s">
        <v>19</v>
      </c>
      <c r="H5" s="54" t="s">
        <v>19</v>
      </c>
      <c r="I5" s="54" t="s">
        <v>19</v>
      </c>
      <c r="J5" s="51" t="s">
        <v>13</v>
      </c>
      <c r="K5" s="51" t="s">
        <v>13</v>
      </c>
      <c r="L5" s="53" t="s">
        <v>19</v>
      </c>
      <c r="M5" s="54" t="s">
        <v>19</v>
      </c>
      <c r="N5" s="54" t="s">
        <v>19</v>
      </c>
      <c r="O5" s="54" t="s">
        <v>19</v>
      </c>
      <c r="P5" s="54" t="s">
        <v>19</v>
      </c>
      <c r="Q5" s="51" t="s">
        <v>13</v>
      </c>
      <c r="R5" s="51" t="s">
        <v>13</v>
      </c>
      <c r="S5" s="53" t="s">
        <v>19</v>
      </c>
      <c r="T5" s="54" t="s">
        <v>19</v>
      </c>
      <c r="U5" s="54" t="s">
        <v>19</v>
      </c>
      <c r="V5" s="54" t="s">
        <v>19</v>
      </c>
      <c r="W5" s="54" t="s">
        <v>19</v>
      </c>
      <c r="X5" s="51" t="s">
        <v>13</v>
      </c>
      <c r="Y5" s="51" t="s">
        <v>13</v>
      </c>
      <c r="Z5" s="53" t="s">
        <v>19</v>
      </c>
      <c r="AA5" s="54" t="s">
        <v>19</v>
      </c>
      <c r="AB5" s="54" t="s">
        <v>19</v>
      </c>
      <c r="AC5" s="54" t="s">
        <v>19</v>
      </c>
      <c r="AD5" s="54" t="s">
        <v>19</v>
      </c>
      <c r="AE5" s="51" t="s">
        <v>13</v>
      </c>
      <c r="AF5" s="51" t="s">
        <v>13</v>
      </c>
      <c r="AG5" s="28"/>
      <c r="AH5" s="9" t="s">
        <v>28</v>
      </c>
      <c r="AI5" s="14" t="s">
        <v>29</v>
      </c>
      <c r="AJ5" s="15" t="s">
        <v>30</v>
      </c>
    </row>
    <row r="6" spans="1:36" x14ac:dyDescent="0.3">
      <c r="A6" s="34" t="s">
        <v>22</v>
      </c>
      <c r="B6" s="35" t="s">
        <v>18</v>
      </c>
      <c r="C6" s="51" t="s">
        <v>13</v>
      </c>
      <c r="D6" s="51" t="s">
        <v>13</v>
      </c>
      <c r="E6" s="53" t="s">
        <v>19</v>
      </c>
      <c r="F6" s="54" t="s">
        <v>19</v>
      </c>
      <c r="G6" s="54" t="s">
        <v>19</v>
      </c>
      <c r="H6" s="54" t="s">
        <v>19</v>
      </c>
      <c r="I6" s="54" t="s">
        <v>19</v>
      </c>
      <c r="J6" s="51" t="s">
        <v>13</v>
      </c>
      <c r="K6" s="51" t="s">
        <v>13</v>
      </c>
      <c r="L6" s="53" t="s">
        <v>19</v>
      </c>
      <c r="M6" s="54" t="s">
        <v>19</v>
      </c>
      <c r="N6" s="54" t="s">
        <v>19</v>
      </c>
      <c r="O6" s="54" t="s">
        <v>19</v>
      </c>
      <c r="P6" s="54" t="s">
        <v>19</v>
      </c>
      <c r="Q6" s="51" t="s">
        <v>13</v>
      </c>
      <c r="R6" s="51" t="s">
        <v>13</v>
      </c>
      <c r="S6" s="53" t="s">
        <v>19</v>
      </c>
      <c r="T6" s="54" t="s">
        <v>19</v>
      </c>
      <c r="U6" s="54" t="s">
        <v>19</v>
      </c>
      <c r="V6" s="54" t="s">
        <v>19</v>
      </c>
      <c r="W6" s="54" t="s">
        <v>19</v>
      </c>
      <c r="X6" s="51" t="s">
        <v>13</v>
      </c>
      <c r="Y6" s="51" t="s">
        <v>13</v>
      </c>
      <c r="Z6" s="53" t="s">
        <v>19</v>
      </c>
      <c r="AA6" s="54" t="s">
        <v>19</v>
      </c>
      <c r="AB6" s="54" t="s">
        <v>19</v>
      </c>
      <c r="AC6" s="54" t="s">
        <v>19</v>
      </c>
      <c r="AD6" s="54" t="s">
        <v>19</v>
      </c>
      <c r="AE6" s="51" t="s">
        <v>13</v>
      </c>
      <c r="AF6" s="51" t="s">
        <v>13</v>
      </c>
      <c r="AG6" s="28"/>
      <c r="AH6" s="9" t="s">
        <v>32</v>
      </c>
      <c r="AI6" s="9" t="s">
        <v>33</v>
      </c>
      <c r="AJ6" s="18" t="s">
        <v>34</v>
      </c>
    </row>
    <row r="7" spans="1:36" x14ac:dyDescent="0.3">
      <c r="A7" s="40" t="s">
        <v>26</v>
      </c>
      <c r="B7" s="35" t="s">
        <v>11</v>
      </c>
      <c r="C7" s="51" t="s">
        <v>13</v>
      </c>
      <c r="D7" s="51" t="s">
        <v>13</v>
      </c>
      <c r="E7" s="55" t="s">
        <v>25</v>
      </c>
      <c r="F7" s="55" t="s">
        <v>25</v>
      </c>
      <c r="G7" s="55" t="s">
        <v>25</v>
      </c>
      <c r="H7" s="14" t="s">
        <v>30</v>
      </c>
      <c r="I7" s="55" t="s">
        <v>25</v>
      </c>
      <c r="J7" s="51" t="s">
        <v>13</v>
      </c>
      <c r="K7" s="51" t="s">
        <v>13</v>
      </c>
      <c r="L7" s="55" t="s">
        <v>25</v>
      </c>
      <c r="M7" s="55" t="s">
        <v>25</v>
      </c>
      <c r="N7" s="55" t="s">
        <v>25</v>
      </c>
      <c r="O7" s="55" t="s">
        <v>25</v>
      </c>
      <c r="P7" s="55" t="s">
        <v>25</v>
      </c>
      <c r="Q7" s="51" t="s">
        <v>13</v>
      </c>
      <c r="R7" s="51" t="s">
        <v>13</v>
      </c>
      <c r="S7" s="55" t="s">
        <v>25</v>
      </c>
      <c r="T7" s="55" t="s">
        <v>25</v>
      </c>
      <c r="U7" s="55" t="s">
        <v>25</v>
      </c>
      <c r="V7" s="55" t="s">
        <v>25</v>
      </c>
      <c r="W7" s="55" t="s">
        <v>25</v>
      </c>
      <c r="X7" s="51" t="s">
        <v>13</v>
      </c>
      <c r="Y7" s="51" t="s">
        <v>13</v>
      </c>
      <c r="Z7" s="55" t="s">
        <v>30</v>
      </c>
      <c r="AA7" s="55" t="s">
        <v>25</v>
      </c>
      <c r="AB7" s="55" t="s">
        <v>25</v>
      </c>
      <c r="AC7" s="43" t="s">
        <v>36</v>
      </c>
      <c r="AD7" s="43" t="s">
        <v>36</v>
      </c>
      <c r="AE7" s="51" t="s">
        <v>13</v>
      </c>
      <c r="AF7" s="51" t="s">
        <v>13</v>
      </c>
      <c r="AG7" s="28"/>
      <c r="AH7" s="9" t="s">
        <v>37</v>
      </c>
      <c r="AI7" s="9" t="s">
        <v>38</v>
      </c>
      <c r="AJ7" s="18" t="s">
        <v>19</v>
      </c>
    </row>
    <row r="8" spans="1:36" x14ac:dyDescent="0.3">
      <c r="A8" s="40" t="s">
        <v>31</v>
      </c>
      <c r="B8" s="35" t="s">
        <v>11</v>
      </c>
      <c r="C8" s="51" t="s">
        <v>13</v>
      </c>
      <c r="D8" s="51" t="s">
        <v>13</v>
      </c>
      <c r="E8" s="55" t="s">
        <v>25</v>
      </c>
      <c r="F8" s="55" t="s">
        <v>25</v>
      </c>
      <c r="G8" s="55" t="s">
        <v>25</v>
      </c>
      <c r="H8" s="55" t="s">
        <v>25</v>
      </c>
      <c r="I8" s="56" t="s">
        <v>36</v>
      </c>
      <c r="J8" s="51" t="s">
        <v>13</v>
      </c>
      <c r="K8" s="51" t="s">
        <v>13</v>
      </c>
      <c r="L8" s="55" t="s">
        <v>25</v>
      </c>
      <c r="M8" s="55" t="s">
        <v>25</v>
      </c>
      <c r="N8" s="55" t="s">
        <v>25</v>
      </c>
      <c r="O8" s="55" t="s">
        <v>25</v>
      </c>
      <c r="P8" s="55" t="s">
        <v>25</v>
      </c>
      <c r="Q8" s="51" t="s">
        <v>13</v>
      </c>
      <c r="R8" s="51" t="s">
        <v>13</v>
      </c>
      <c r="S8" s="55" t="s">
        <v>25</v>
      </c>
      <c r="T8" s="55" t="s">
        <v>25</v>
      </c>
      <c r="U8" s="55" t="s">
        <v>25</v>
      </c>
      <c r="V8" s="55" t="s">
        <v>25</v>
      </c>
      <c r="W8" s="54"/>
      <c r="X8" s="51" t="s">
        <v>13</v>
      </c>
      <c r="Y8" s="51" t="s">
        <v>13</v>
      </c>
      <c r="Z8" s="54"/>
      <c r="AA8" s="54"/>
      <c r="AB8" s="54"/>
      <c r="AC8" s="54"/>
      <c r="AD8" s="54"/>
      <c r="AE8" s="51" t="s">
        <v>13</v>
      </c>
      <c r="AF8" s="51" t="s">
        <v>13</v>
      </c>
      <c r="AG8" s="28"/>
      <c r="AH8" s="9" t="s">
        <v>40</v>
      </c>
      <c r="AI8" s="9" t="s">
        <v>41</v>
      </c>
      <c r="AJ8" s="18" t="s">
        <v>42</v>
      </c>
    </row>
    <row r="9" spans="1:36" x14ac:dyDescent="0.3">
      <c r="A9" s="40" t="s">
        <v>35</v>
      </c>
      <c r="B9" s="35" t="s">
        <v>18</v>
      </c>
      <c r="C9" s="51" t="s">
        <v>13</v>
      </c>
      <c r="D9" s="51" t="s">
        <v>13</v>
      </c>
      <c r="E9" s="54" t="s">
        <v>19</v>
      </c>
      <c r="F9" s="54" t="s">
        <v>19</v>
      </c>
      <c r="G9" s="54" t="s">
        <v>19</v>
      </c>
      <c r="H9" s="54" t="s">
        <v>19</v>
      </c>
      <c r="I9" s="54" t="s">
        <v>19</v>
      </c>
      <c r="J9" s="51" t="s">
        <v>13</v>
      </c>
      <c r="K9" s="51" t="s">
        <v>13</v>
      </c>
      <c r="L9" s="54" t="s">
        <v>19</v>
      </c>
      <c r="M9" s="45" t="s">
        <v>59</v>
      </c>
      <c r="N9" s="54" t="s">
        <v>19</v>
      </c>
      <c r="O9" s="54" t="s">
        <v>19</v>
      </c>
      <c r="P9" s="54" t="s">
        <v>19</v>
      </c>
      <c r="Q9" s="51" t="s">
        <v>13</v>
      </c>
      <c r="R9" s="51" t="s">
        <v>13</v>
      </c>
      <c r="S9" s="51" t="s">
        <v>13</v>
      </c>
      <c r="T9" s="54" t="s">
        <v>19</v>
      </c>
      <c r="U9" s="54" t="s">
        <v>19</v>
      </c>
      <c r="V9" s="54" t="s">
        <v>19</v>
      </c>
      <c r="W9" s="54" t="s">
        <v>19</v>
      </c>
      <c r="X9" s="21" t="s">
        <v>42</v>
      </c>
      <c r="Y9" s="51" t="s">
        <v>13</v>
      </c>
      <c r="Z9" s="54" t="s">
        <v>19</v>
      </c>
      <c r="AA9" s="54" t="s">
        <v>19</v>
      </c>
      <c r="AB9" s="54" t="s">
        <v>19</v>
      </c>
      <c r="AC9" s="54" t="s">
        <v>19</v>
      </c>
      <c r="AD9" s="54" t="s">
        <v>19</v>
      </c>
      <c r="AE9" s="51" t="s">
        <v>13</v>
      </c>
      <c r="AF9" s="51" t="s">
        <v>13</v>
      </c>
      <c r="AG9" s="28"/>
      <c r="AH9" s="28"/>
      <c r="AI9" s="28"/>
      <c r="AJ9" s="28"/>
    </row>
    <row r="10" spans="1:36" x14ac:dyDescent="0.3">
      <c r="A10" s="40" t="s">
        <v>39</v>
      </c>
      <c r="B10" s="35" t="s">
        <v>18</v>
      </c>
      <c r="C10" s="51" t="s">
        <v>13</v>
      </c>
      <c r="D10" s="51" t="s">
        <v>13</v>
      </c>
      <c r="E10" s="56" t="s">
        <v>36</v>
      </c>
      <c r="F10" s="54" t="s">
        <v>34</v>
      </c>
      <c r="G10" s="54" t="s">
        <v>34</v>
      </c>
      <c r="H10" s="54" t="s">
        <v>34</v>
      </c>
      <c r="I10" s="54" t="s">
        <v>34</v>
      </c>
      <c r="J10" s="21" t="s">
        <v>34</v>
      </c>
      <c r="K10" s="51" t="s">
        <v>13</v>
      </c>
      <c r="L10" s="51" t="s">
        <v>13</v>
      </c>
      <c r="M10" s="54" t="s">
        <v>34</v>
      </c>
      <c r="N10" s="54" t="s">
        <v>34</v>
      </c>
      <c r="O10" s="54" t="s">
        <v>34</v>
      </c>
      <c r="P10" s="54" t="s">
        <v>34</v>
      </c>
      <c r="Q10" s="57" t="s">
        <v>19</v>
      </c>
      <c r="R10" s="51" t="s">
        <v>13</v>
      </c>
      <c r="S10" s="51" t="s">
        <v>13</v>
      </c>
      <c r="T10" s="54" t="s">
        <v>34</v>
      </c>
      <c r="U10" s="54" t="s">
        <v>34</v>
      </c>
      <c r="V10" s="54" t="s">
        <v>34</v>
      </c>
      <c r="W10" s="54" t="s">
        <v>34</v>
      </c>
      <c r="X10" s="51" t="s">
        <v>13</v>
      </c>
      <c r="Y10" s="51" t="s">
        <v>13</v>
      </c>
      <c r="Z10" s="54" t="s">
        <v>34</v>
      </c>
      <c r="AA10" s="54" t="s">
        <v>34</v>
      </c>
      <c r="AB10" s="54" t="s">
        <v>34</v>
      </c>
      <c r="AC10" s="54" t="s">
        <v>34</v>
      </c>
      <c r="AD10" s="54" t="s">
        <v>34</v>
      </c>
      <c r="AE10" s="51" t="s">
        <v>13</v>
      </c>
      <c r="AF10" s="51" t="s">
        <v>13</v>
      </c>
      <c r="AG10" s="28"/>
      <c r="AH10" s="28"/>
      <c r="AI10" s="28"/>
      <c r="AJ10" s="28"/>
    </row>
    <row r="11" spans="1:36" x14ac:dyDescent="0.3">
      <c r="A11" s="40" t="s">
        <v>43</v>
      </c>
      <c r="B11" s="35" t="s">
        <v>18</v>
      </c>
      <c r="C11" s="21" t="s">
        <v>42</v>
      </c>
      <c r="D11" s="51" t="s">
        <v>13</v>
      </c>
      <c r="E11" s="54" t="s">
        <v>42</v>
      </c>
      <c r="F11" s="54" t="s">
        <v>42</v>
      </c>
      <c r="G11" s="54" t="s">
        <v>42</v>
      </c>
      <c r="H11" s="54" t="s">
        <v>42</v>
      </c>
      <c r="I11" s="54" t="s">
        <v>42</v>
      </c>
      <c r="J11" s="51" t="s">
        <v>13</v>
      </c>
      <c r="K11" s="51" t="s">
        <v>13</v>
      </c>
      <c r="L11" s="51" t="s">
        <v>13</v>
      </c>
      <c r="M11" s="54" t="s">
        <v>19</v>
      </c>
      <c r="N11" s="54" t="s">
        <v>19</v>
      </c>
      <c r="O11" s="54" t="s">
        <v>19</v>
      </c>
      <c r="P11" s="54" t="s">
        <v>19</v>
      </c>
      <c r="Q11" s="51" t="s">
        <v>13</v>
      </c>
      <c r="R11" s="51" t="s">
        <v>13</v>
      </c>
      <c r="S11" s="54" t="s">
        <v>19</v>
      </c>
      <c r="T11" s="54" t="s">
        <v>19</v>
      </c>
      <c r="U11" s="54" t="s">
        <v>19</v>
      </c>
      <c r="V11" s="54" t="s">
        <v>19</v>
      </c>
      <c r="W11" s="54" t="s">
        <v>19</v>
      </c>
      <c r="X11" s="51" t="s">
        <v>13</v>
      </c>
      <c r="Y11" s="51" t="s">
        <v>13</v>
      </c>
      <c r="Z11" s="54" t="s">
        <v>34</v>
      </c>
      <c r="AA11" s="54" t="s">
        <v>34</v>
      </c>
      <c r="AB11" s="54" t="s">
        <v>34</v>
      </c>
      <c r="AC11" s="54" t="s">
        <v>34</v>
      </c>
      <c r="AD11" s="51" t="s">
        <v>13</v>
      </c>
      <c r="AE11" s="57" t="s">
        <v>19</v>
      </c>
      <c r="AF11" s="51" t="s">
        <v>13</v>
      </c>
      <c r="AG11" s="28"/>
      <c r="AH11" s="20" t="s">
        <v>16</v>
      </c>
      <c r="AI11" s="27"/>
      <c r="AJ11" s="28"/>
    </row>
    <row r="12" spans="1:36" x14ac:dyDescent="0.3">
      <c r="A12" s="40" t="s">
        <v>44</v>
      </c>
      <c r="B12" s="35" t="s">
        <v>18</v>
      </c>
      <c r="C12" s="21" t="s">
        <v>19</v>
      </c>
      <c r="D12" s="51" t="s">
        <v>13</v>
      </c>
      <c r="E12" s="54" t="s">
        <v>19</v>
      </c>
      <c r="F12" s="54" t="s">
        <v>19</v>
      </c>
      <c r="G12" s="54" t="s">
        <v>19</v>
      </c>
      <c r="H12" s="54" t="s">
        <v>19</v>
      </c>
      <c r="I12" s="51" t="s">
        <v>13</v>
      </c>
      <c r="J12" s="51" t="s">
        <v>13</v>
      </c>
      <c r="K12" s="51" t="s">
        <v>13</v>
      </c>
      <c r="L12" s="53" t="s">
        <v>34</v>
      </c>
      <c r="M12" s="53" t="s">
        <v>34</v>
      </c>
      <c r="N12" s="53" t="s">
        <v>34</v>
      </c>
      <c r="O12" s="53" t="s">
        <v>34</v>
      </c>
      <c r="P12" s="53" t="s">
        <v>34</v>
      </c>
      <c r="Q12" s="51" t="s">
        <v>13</v>
      </c>
      <c r="R12" s="51" t="s">
        <v>13</v>
      </c>
      <c r="S12" s="53" t="s">
        <v>34</v>
      </c>
      <c r="T12" s="53" t="s">
        <v>34</v>
      </c>
      <c r="U12" s="53" t="s">
        <v>34</v>
      </c>
      <c r="V12" s="53" t="s">
        <v>34</v>
      </c>
      <c r="W12" s="51" t="s">
        <v>13</v>
      </c>
      <c r="X12" s="21" t="s">
        <v>34</v>
      </c>
      <c r="Y12" s="51" t="s">
        <v>13</v>
      </c>
      <c r="Z12" s="54" t="s">
        <v>42</v>
      </c>
      <c r="AA12" s="54" t="s">
        <v>42</v>
      </c>
      <c r="AB12" s="54" t="s">
        <v>42</v>
      </c>
      <c r="AC12" s="44" t="s">
        <v>58</v>
      </c>
      <c r="AD12" s="44" t="s">
        <v>58</v>
      </c>
      <c r="AE12" s="51" t="s">
        <v>13</v>
      </c>
      <c r="AF12" s="51" t="s">
        <v>13</v>
      </c>
      <c r="AG12" s="28"/>
      <c r="AH12" s="9" t="s">
        <v>47</v>
      </c>
      <c r="AI12" s="21" t="s">
        <v>46</v>
      </c>
      <c r="AJ12" s="28"/>
    </row>
    <row r="13" spans="1:36" x14ac:dyDescent="0.3">
      <c r="A13" s="40" t="s">
        <v>45</v>
      </c>
      <c r="B13" s="35" t="s">
        <v>18</v>
      </c>
      <c r="C13" s="21" t="s">
        <v>34</v>
      </c>
      <c r="D13" s="51" t="s">
        <v>13</v>
      </c>
      <c r="E13" s="53" t="s">
        <v>34</v>
      </c>
      <c r="F13" s="53" t="s">
        <v>34</v>
      </c>
      <c r="G13" s="53" t="s">
        <v>34</v>
      </c>
      <c r="H13" s="53" t="s">
        <v>34</v>
      </c>
      <c r="I13" s="51" t="s">
        <v>13</v>
      </c>
      <c r="J13" s="51" t="s">
        <v>13</v>
      </c>
      <c r="K13" s="51" t="s">
        <v>13</v>
      </c>
      <c r="L13" s="54" t="s">
        <v>42</v>
      </c>
      <c r="M13" s="54" t="s">
        <v>42</v>
      </c>
      <c r="N13" s="51" t="s">
        <v>13</v>
      </c>
      <c r="O13" s="54" t="s">
        <v>42</v>
      </c>
      <c r="P13" s="54" t="s">
        <v>42</v>
      </c>
      <c r="Q13" s="21" t="s">
        <v>42</v>
      </c>
      <c r="R13" s="51" t="s">
        <v>13</v>
      </c>
      <c r="S13" s="54" t="s">
        <v>42</v>
      </c>
      <c r="T13" s="54" t="s">
        <v>42</v>
      </c>
      <c r="U13" s="54" t="s">
        <v>42</v>
      </c>
      <c r="V13" s="54" t="s">
        <v>42</v>
      </c>
      <c r="W13" s="54" t="s">
        <v>42</v>
      </c>
      <c r="X13" s="51" t="s">
        <v>13</v>
      </c>
      <c r="Y13" s="51" t="s">
        <v>13</v>
      </c>
      <c r="Z13" s="54" t="s">
        <v>19</v>
      </c>
      <c r="AA13" s="54" t="s">
        <v>19</v>
      </c>
      <c r="AB13" s="54" t="s">
        <v>19</v>
      </c>
      <c r="AC13" s="54" t="s">
        <v>19</v>
      </c>
      <c r="AD13" s="54" t="s">
        <v>19</v>
      </c>
      <c r="AE13" s="51" t="s">
        <v>13</v>
      </c>
      <c r="AF13" s="51" t="s">
        <v>13</v>
      </c>
      <c r="AG13" s="28"/>
      <c r="AH13" s="9" t="s">
        <v>50</v>
      </c>
      <c r="AI13" s="21" t="s">
        <v>27</v>
      </c>
      <c r="AJ13" s="28"/>
    </row>
    <row r="14" spans="1:36" x14ac:dyDescent="0.3">
      <c r="A14" s="40" t="s">
        <v>49</v>
      </c>
      <c r="B14" s="35" t="s">
        <v>18</v>
      </c>
      <c r="C14" s="51" t="s">
        <v>13</v>
      </c>
      <c r="D14" s="51" t="s">
        <v>13</v>
      </c>
      <c r="E14" s="54" t="s">
        <v>19</v>
      </c>
      <c r="F14" s="54" t="s">
        <v>19</v>
      </c>
      <c r="G14" s="51" t="s">
        <v>13</v>
      </c>
      <c r="H14" s="54" t="s">
        <v>19</v>
      </c>
      <c r="I14" s="54" t="s">
        <v>19</v>
      </c>
      <c r="J14" s="21" t="s">
        <v>19</v>
      </c>
      <c r="K14" s="51" t="s">
        <v>13</v>
      </c>
      <c r="L14" s="54" t="s">
        <v>19</v>
      </c>
      <c r="M14" s="54" t="s">
        <v>19</v>
      </c>
      <c r="N14" s="54" t="s">
        <v>19</v>
      </c>
      <c r="O14" s="54" t="s">
        <v>19</v>
      </c>
      <c r="P14" s="54" t="s">
        <v>19</v>
      </c>
      <c r="Q14" s="51" t="s">
        <v>13</v>
      </c>
      <c r="R14" s="51" t="s">
        <v>13</v>
      </c>
      <c r="S14" s="53" t="s">
        <v>42</v>
      </c>
      <c r="T14" s="53" t="s">
        <v>42</v>
      </c>
      <c r="U14" s="53" t="s">
        <v>42</v>
      </c>
      <c r="V14" s="53" t="s">
        <v>42</v>
      </c>
      <c r="W14" s="53" t="s">
        <v>42</v>
      </c>
      <c r="X14" s="51" t="s">
        <v>13</v>
      </c>
      <c r="Y14" s="51" t="s">
        <v>13</v>
      </c>
      <c r="Z14" s="51" t="s">
        <v>13</v>
      </c>
      <c r="AA14" s="53" t="s">
        <v>42</v>
      </c>
      <c r="AB14" s="53" t="s">
        <v>42</v>
      </c>
      <c r="AC14" s="53" t="s">
        <v>42</v>
      </c>
      <c r="AD14" s="53" t="s">
        <v>42</v>
      </c>
      <c r="AE14" s="21" t="s">
        <v>42</v>
      </c>
      <c r="AF14" s="51" t="s">
        <v>13</v>
      </c>
      <c r="AG14" s="28"/>
      <c r="AH14" s="9" t="s">
        <v>53</v>
      </c>
      <c r="AI14" s="22" t="s">
        <v>13</v>
      </c>
      <c r="AJ14" s="28"/>
    </row>
    <row r="15" spans="1:36" x14ac:dyDescent="0.3">
      <c r="A15" s="40" t="s">
        <v>52</v>
      </c>
      <c r="B15" s="35" t="s">
        <v>18</v>
      </c>
      <c r="C15" s="51" t="s">
        <v>13</v>
      </c>
      <c r="D15" s="51" t="s">
        <v>13</v>
      </c>
      <c r="E15" s="53" t="s">
        <v>34</v>
      </c>
      <c r="F15" s="53" t="s">
        <v>34</v>
      </c>
      <c r="G15" s="53" t="s">
        <v>34</v>
      </c>
      <c r="H15" s="53" t="s">
        <v>34</v>
      </c>
      <c r="I15" s="53" t="s">
        <v>34</v>
      </c>
      <c r="J15" s="51" t="s">
        <v>13</v>
      </c>
      <c r="K15" s="51" t="s">
        <v>13</v>
      </c>
      <c r="L15" s="53" t="s">
        <v>34</v>
      </c>
      <c r="M15" s="53" t="s">
        <v>34</v>
      </c>
      <c r="N15" s="53" t="s">
        <v>34</v>
      </c>
      <c r="O15" s="53" t="s">
        <v>34</v>
      </c>
      <c r="P15" s="51" t="s">
        <v>13</v>
      </c>
      <c r="Q15" s="21" t="s">
        <v>34</v>
      </c>
      <c r="R15" s="51" t="s">
        <v>13</v>
      </c>
      <c r="S15" s="53" t="s">
        <v>34</v>
      </c>
      <c r="T15" s="51" t="s">
        <v>13</v>
      </c>
      <c r="U15" s="53" t="s">
        <v>34</v>
      </c>
      <c r="V15" s="53" t="s">
        <v>34</v>
      </c>
      <c r="W15" s="53" t="s">
        <v>34</v>
      </c>
      <c r="X15" s="51" t="s">
        <v>13</v>
      </c>
      <c r="Y15" s="51" t="s">
        <v>13</v>
      </c>
      <c r="Z15" s="56" t="s">
        <v>36</v>
      </c>
      <c r="AA15" s="56" t="s">
        <v>36</v>
      </c>
      <c r="AB15" s="53" t="s">
        <v>34</v>
      </c>
      <c r="AC15" s="53" t="s">
        <v>34</v>
      </c>
      <c r="AD15" s="53" t="s">
        <v>34</v>
      </c>
      <c r="AE15" s="21" t="s">
        <v>34</v>
      </c>
      <c r="AF15" s="51" t="s">
        <v>13</v>
      </c>
      <c r="AG15" s="28"/>
      <c r="AH15" s="9" t="s">
        <v>60</v>
      </c>
      <c r="AI15" s="45" t="s">
        <v>59</v>
      </c>
      <c r="AJ15" s="28"/>
    </row>
    <row r="16" spans="1:36" x14ac:dyDescent="0.3">
      <c r="A16" s="40" t="s">
        <v>54</v>
      </c>
      <c r="B16" s="35" t="s">
        <v>18</v>
      </c>
      <c r="C16" s="51" t="s">
        <v>13</v>
      </c>
      <c r="D16" s="51" t="s">
        <v>13</v>
      </c>
      <c r="E16" s="51" t="s">
        <v>13</v>
      </c>
      <c r="F16" s="54" t="s">
        <v>42</v>
      </c>
      <c r="G16" s="54" t="s">
        <v>42</v>
      </c>
      <c r="H16" s="54" t="s">
        <v>42</v>
      </c>
      <c r="I16" s="54" t="s">
        <v>42</v>
      </c>
      <c r="J16" s="21" t="s">
        <v>42</v>
      </c>
      <c r="K16" s="51" t="s">
        <v>13</v>
      </c>
      <c r="L16" s="54" t="s">
        <v>42</v>
      </c>
      <c r="M16" s="54" t="s">
        <v>42</v>
      </c>
      <c r="N16" s="54" t="s">
        <v>42</v>
      </c>
      <c r="O16" s="54" t="s">
        <v>42</v>
      </c>
      <c r="P16" s="54" t="s">
        <v>42</v>
      </c>
      <c r="Q16" s="51" t="s">
        <v>13</v>
      </c>
      <c r="R16" s="51" t="s">
        <v>13</v>
      </c>
      <c r="S16" s="54" t="s">
        <v>19</v>
      </c>
      <c r="T16" s="54" t="s">
        <v>19</v>
      </c>
      <c r="U16" s="54" t="s">
        <v>19</v>
      </c>
      <c r="V16" s="54" t="s">
        <v>19</v>
      </c>
      <c r="W16" s="51" t="s">
        <v>13</v>
      </c>
      <c r="X16" s="57" t="s">
        <v>19</v>
      </c>
      <c r="Y16" s="51" t="s">
        <v>13</v>
      </c>
      <c r="Z16" s="54" t="s">
        <v>19</v>
      </c>
      <c r="AA16" s="54" t="s">
        <v>19</v>
      </c>
      <c r="AB16" s="54" t="s">
        <v>19</v>
      </c>
      <c r="AC16" s="54" t="s">
        <v>19</v>
      </c>
      <c r="AD16" s="54" t="s">
        <v>19</v>
      </c>
      <c r="AE16" s="51" t="s">
        <v>13</v>
      </c>
      <c r="AF16" s="51" t="s">
        <v>13</v>
      </c>
      <c r="AG16" s="28"/>
      <c r="AH16" s="9" t="s">
        <v>55</v>
      </c>
      <c r="AI16" s="19" t="s">
        <v>36</v>
      </c>
      <c r="AJ16" s="28"/>
    </row>
    <row r="17" spans="1:36" x14ac:dyDescent="0.3">
      <c r="A17" s="28"/>
      <c r="B17" s="28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28"/>
      <c r="AH17" s="9" t="s">
        <v>61</v>
      </c>
      <c r="AI17" s="46" t="s">
        <v>58</v>
      </c>
      <c r="AJ17" s="28"/>
    </row>
    <row r="18" spans="1:36" x14ac:dyDescent="0.3">
      <c r="A18" s="28"/>
      <c r="B18" s="28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28"/>
      <c r="AI18" s="28"/>
      <c r="AJ18" s="28"/>
    </row>
    <row r="19" spans="1:36" x14ac:dyDescent="0.3">
      <c r="A19" s="28"/>
      <c r="B19" s="28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28"/>
      <c r="AI19" s="28"/>
      <c r="AJ19" s="28"/>
    </row>
    <row r="20" spans="1:36" x14ac:dyDescent="0.3">
      <c r="A20" s="28"/>
      <c r="B20" s="28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28"/>
      <c r="AI20" s="28"/>
      <c r="AJ20" s="28"/>
    </row>
    <row r="21" spans="1:36" x14ac:dyDescent="0.3">
      <c r="A21" s="28"/>
      <c r="B21" s="28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28"/>
      <c r="AI21" s="28"/>
      <c r="AJ21" s="28"/>
    </row>
    <row r="22" spans="1:36" x14ac:dyDescent="0.3">
      <c r="A22" s="28"/>
      <c r="B22" s="28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28"/>
      <c r="AI22" s="28"/>
      <c r="AJ22" s="28"/>
    </row>
    <row r="23" spans="1:36" x14ac:dyDescent="0.3">
      <c r="A23" s="28"/>
      <c r="B23" s="28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28"/>
      <c r="AI23" s="28"/>
      <c r="AJ23" s="28"/>
    </row>
    <row r="24" spans="1:36" x14ac:dyDescent="0.3"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28"/>
      <c r="AI24" s="28"/>
      <c r="AJ24" s="28"/>
    </row>
    <row r="25" spans="1:36" x14ac:dyDescent="0.3">
      <c r="A25" s="28"/>
      <c r="B25" s="28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28"/>
      <c r="AI25" s="28"/>
      <c r="AJ25" s="28"/>
    </row>
    <row r="26" spans="1:36" x14ac:dyDescent="0.3">
      <c r="A26" s="28"/>
      <c r="B26" s="28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28"/>
      <c r="AI26" s="28"/>
      <c r="AJ26" s="28"/>
    </row>
    <row r="27" spans="1:36" x14ac:dyDescent="0.3">
      <c r="A27" s="28"/>
      <c r="B27" s="28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28"/>
      <c r="AI27" s="28"/>
      <c r="AJ27" s="28"/>
    </row>
  </sheetData>
  <mergeCells count="91">
    <mergeCell ref="P27:Q27"/>
    <mergeCell ref="R27:S27"/>
    <mergeCell ref="T27:U27"/>
    <mergeCell ref="V27:W27"/>
    <mergeCell ref="X27:Y27"/>
    <mergeCell ref="Z26:AA26"/>
    <mergeCell ref="AB26:AC26"/>
    <mergeCell ref="AD26:AE26"/>
    <mergeCell ref="AF26:AG26"/>
    <mergeCell ref="AB27:AC27"/>
    <mergeCell ref="AD27:AE27"/>
    <mergeCell ref="AF27:AG27"/>
    <mergeCell ref="Z27:AA27"/>
    <mergeCell ref="P26:Q26"/>
    <mergeCell ref="R26:S26"/>
    <mergeCell ref="T26:U26"/>
    <mergeCell ref="V26:W26"/>
    <mergeCell ref="X26:Y26"/>
    <mergeCell ref="AF24:AG24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Z24:AA24"/>
    <mergeCell ref="AB24:AC24"/>
    <mergeCell ref="P24:Q24"/>
    <mergeCell ref="R24:S24"/>
    <mergeCell ref="T24:U24"/>
    <mergeCell ref="V24:W24"/>
    <mergeCell ref="P23:Q23"/>
    <mergeCell ref="R23:S23"/>
    <mergeCell ref="T23:U23"/>
    <mergeCell ref="V23:W23"/>
    <mergeCell ref="X23:Y23"/>
    <mergeCell ref="X24:Y24"/>
    <mergeCell ref="Z22:AA22"/>
    <mergeCell ref="AB22:AC22"/>
    <mergeCell ref="AD22:AE22"/>
    <mergeCell ref="AD24:AE24"/>
    <mergeCell ref="AF22:AG22"/>
    <mergeCell ref="AB23:AC23"/>
    <mergeCell ref="AD23:AE23"/>
    <mergeCell ref="AF23:AG23"/>
    <mergeCell ref="Z23:AA23"/>
    <mergeCell ref="V20:W20"/>
    <mergeCell ref="X20:Y20"/>
    <mergeCell ref="P22:Q22"/>
    <mergeCell ref="R22:S22"/>
    <mergeCell ref="T22:U22"/>
    <mergeCell ref="V22:W22"/>
    <mergeCell ref="X22:Y22"/>
    <mergeCell ref="Z20:AA20"/>
    <mergeCell ref="AB20:AC20"/>
    <mergeCell ref="AD20:AE20"/>
    <mergeCell ref="AF20:AG20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P20:Q20"/>
    <mergeCell ref="R20:S20"/>
    <mergeCell ref="T20:U20"/>
    <mergeCell ref="AF18:AG18"/>
    <mergeCell ref="P19:Q19"/>
    <mergeCell ref="R19:S19"/>
    <mergeCell ref="T19:U19"/>
    <mergeCell ref="V19:W19"/>
    <mergeCell ref="X19:Y19"/>
    <mergeCell ref="Z19:AA19"/>
    <mergeCell ref="X18:Y18"/>
    <mergeCell ref="AB19:AC19"/>
    <mergeCell ref="AD19:AE19"/>
    <mergeCell ref="AF19:AG19"/>
    <mergeCell ref="Z18:AA18"/>
    <mergeCell ref="AB18:AC18"/>
    <mergeCell ref="AD18:AE18"/>
    <mergeCell ref="A2:B2"/>
    <mergeCell ref="P18:Q18"/>
    <mergeCell ref="R18:S18"/>
    <mergeCell ref="T18:U18"/>
    <mergeCell ref="V18:W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A0F6-7FC7-4C78-8F3B-EB676B6DF31D}">
  <dimension ref="A1:AV23"/>
  <sheetViews>
    <sheetView zoomScaleNormal="100" workbookViewId="0">
      <pane xSplit="1" topLeftCell="B1" activePane="topRight" state="frozen"/>
      <selection pane="topRight" activeCell="AE10" sqref="AE10:AG10"/>
    </sheetView>
  </sheetViews>
  <sheetFormatPr defaultRowHeight="14.4" x14ac:dyDescent="0.3"/>
  <cols>
    <col min="1" max="1" width="15.21875" bestFit="1" customWidth="1"/>
    <col min="2" max="2" width="9.5546875" bestFit="1" customWidth="1"/>
    <col min="3" max="4" width="3.44140625" bestFit="1" customWidth="1"/>
    <col min="5" max="5" width="3.5546875" bestFit="1" customWidth="1"/>
    <col min="6" max="7" width="3.21875" bestFit="1" customWidth="1"/>
    <col min="8" max="10" width="3.44140625" bestFit="1" customWidth="1"/>
    <col min="11" max="12" width="3.21875" bestFit="1" customWidth="1"/>
    <col min="13" max="14" width="3.5546875" bestFit="1" customWidth="1"/>
    <col min="15" max="17" width="3.44140625" bestFit="1" customWidth="1"/>
    <col min="18" max="20" width="3.21875" bestFit="1" customWidth="1"/>
    <col min="21" max="21" width="3.5546875" bestFit="1" customWidth="1"/>
    <col min="22" max="23" width="3.44140625" bestFit="1" customWidth="1"/>
    <col min="24" max="28" width="3.5546875" bestFit="1" customWidth="1"/>
    <col min="29" max="30" width="3.44140625" bestFit="1" customWidth="1"/>
    <col min="31" max="35" width="3.44140625" customWidth="1"/>
    <col min="37" max="37" width="13.21875" bestFit="1" customWidth="1"/>
    <col min="38" max="38" width="17" bestFit="1" customWidth="1"/>
    <col min="39" max="39" width="4.77734375" bestFit="1" customWidth="1"/>
    <col min="41" max="41" width="12.44140625" bestFit="1" customWidth="1"/>
  </cols>
  <sheetData>
    <row r="1" spans="1:48" x14ac:dyDescent="0.3">
      <c r="A1" s="28"/>
      <c r="B1" s="28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28"/>
      <c r="AK1" s="28"/>
      <c r="AL1" s="28"/>
      <c r="AM1" s="28"/>
    </row>
    <row r="2" spans="1:48" ht="14.55" customHeight="1" x14ac:dyDescent="0.3">
      <c r="A2" s="80" t="s">
        <v>64</v>
      </c>
      <c r="B2" s="81"/>
      <c r="C2" s="48">
        <v>1</v>
      </c>
      <c r="D2" s="48">
        <v>2</v>
      </c>
      <c r="E2" s="48">
        <v>3</v>
      </c>
      <c r="F2" s="48">
        <v>4</v>
      </c>
      <c r="G2" s="48">
        <v>5</v>
      </c>
      <c r="H2" s="48">
        <v>6</v>
      </c>
      <c r="I2" s="48">
        <v>7</v>
      </c>
      <c r="J2" s="48">
        <v>8</v>
      </c>
      <c r="K2" s="48">
        <v>9</v>
      </c>
      <c r="L2" s="48">
        <v>10</v>
      </c>
      <c r="M2" s="48">
        <v>11</v>
      </c>
      <c r="N2" s="48">
        <v>12</v>
      </c>
      <c r="O2" s="48">
        <v>13</v>
      </c>
      <c r="P2" s="48">
        <v>14</v>
      </c>
      <c r="Q2" s="48">
        <v>15</v>
      </c>
      <c r="R2" s="48">
        <v>16</v>
      </c>
      <c r="S2" s="48">
        <v>17</v>
      </c>
      <c r="T2" s="48">
        <v>18</v>
      </c>
      <c r="U2" s="48">
        <v>19</v>
      </c>
      <c r="V2" s="48">
        <v>20</v>
      </c>
      <c r="W2" s="48">
        <v>21</v>
      </c>
      <c r="X2" s="48">
        <v>22</v>
      </c>
      <c r="Y2" s="48">
        <v>23</v>
      </c>
      <c r="Z2" s="48">
        <v>24</v>
      </c>
      <c r="AA2" s="48">
        <v>25</v>
      </c>
      <c r="AB2" s="48">
        <v>26</v>
      </c>
      <c r="AC2" s="48">
        <v>27</v>
      </c>
      <c r="AD2" s="48">
        <v>28</v>
      </c>
      <c r="AE2" s="48">
        <v>29</v>
      </c>
      <c r="AF2" s="48">
        <v>30</v>
      </c>
      <c r="AG2" s="48">
        <v>31</v>
      </c>
      <c r="AH2" s="63"/>
      <c r="AI2" s="63"/>
      <c r="AJ2" s="28"/>
    </row>
    <row r="3" spans="1:48" ht="22.2" x14ac:dyDescent="0.3">
      <c r="A3" s="30" t="s">
        <v>1</v>
      </c>
      <c r="B3" s="31" t="s">
        <v>2</v>
      </c>
      <c r="C3" s="50" t="s">
        <v>3</v>
      </c>
      <c r="D3" s="50" t="s">
        <v>4</v>
      </c>
      <c r="E3" s="50" t="s">
        <v>5</v>
      </c>
      <c r="F3" s="50" t="s">
        <v>6</v>
      </c>
      <c r="G3" s="50" t="s">
        <v>7</v>
      </c>
      <c r="H3" s="49" t="s">
        <v>8</v>
      </c>
      <c r="I3" s="49" t="s">
        <v>9</v>
      </c>
      <c r="J3" s="50" t="s">
        <v>3</v>
      </c>
      <c r="K3" s="50" t="s">
        <v>4</v>
      </c>
      <c r="L3" s="50" t="s">
        <v>5</v>
      </c>
      <c r="M3" s="50" t="s">
        <v>6</v>
      </c>
      <c r="N3" s="50" t="s">
        <v>7</v>
      </c>
      <c r="O3" s="51" t="s">
        <v>8</v>
      </c>
      <c r="P3" s="51" t="s">
        <v>9</v>
      </c>
      <c r="Q3" s="50" t="s">
        <v>3</v>
      </c>
      <c r="R3" s="50" t="s">
        <v>4</v>
      </c>
      <c r="S3" s="50" t="s">
        <v>5</v>
      </c>
      <c r="T3" s="50" t="s">
        <v>6</v>
      </c>
      <c r="U3" s="50" t="s">
        <v>7</v>
      </c>
      <c r="V3" s="51" t="s">
        <v>8</v>
      </c>
      <c r="W3" s="51" t="s">
        <v>9</v>
      </c>
      <c r="X3" s="50" t="s">
        <v>3</v>
      </c>
      <c r="Y3" s="50" t="s">
        <v>4</v>
      </c>
      <c r="Z3" s="50" t="s">
        <v>5</v>
      </c>
      <c r="AA3" s="50" t="s">
        <v>6</v>
      </c>
      <c r="AB3" s="50" t="s">
        <v>7</v>
      </c>
      <c r="AC3" s="49" t="s">
        <v>8</v>
      </c>
      <c r="AD3" s="49" t="s">
        <v>9</v>
      </c>
      <c r="AE3" s="50" t="s">
        <v>3</v>
      </c>
      <c r="AF3" s="50" t="s">
        <v>4</v>
      </c>
      <c r="AG3" s="50" t="s">
        <v>5</v>
      </c>
      <c r="AH3" s="64"/>
      <c r="AI3" s="64"/>
      <c r="AJ3" s="28"/>
    </row>
    <row r="4" spans="1:48" hidden="1" x14ac:dyDescent="0.3">
      <c r="A4" s="34" t="s">
        <v>10</v>
      </c>
      <c r="B4" s="35" t="s">
        <v>11</v>
      </c>
      <c r="C4" s="14" t="s">
        <v>12</v>
      </c>
      <c r="D4" s="52" t="s">
        <v>12</v>
      </c>
      <c r="E4" s="52" t="s">
        <v>12</v>
      </c>
      <c r="F4" s="52" t="s">
        <v>12</v>
      </c>
      <c r="G4" s="52" t="s">
        <v>12</v>
      </c>
      <c r="H4" s="51" t="s">
        <v>13</v>
      </c>
      <c r="I4" s="51" t="s">
        <v>13</v>
      </c>
      <c r="J4" s="14" t="s">
        <v>12</v>
      </c>
      <c r="K4" s="52" t="s">
        <v>12</v>
      </c>
      <c r="L4" s="52" t="s">
        <v>12</v>
      </c>
      <c r="M4" s="52" t="s">
        <v>12</v>
      </c>
      <c r="N4" s="52" t="s">
        <v>12</v>
      </c>
      <c r="O4" s="51" t="s">
        <v>13</v>
      </c>
      <c r="P4" s="51" t="s">
        <v>13</v>
      </c>
      <c r="Q4" s="14" t="s">
        <v>12</v>
      </c>
      <c r="R4" s="52" t="s">
        <v>12</v>
      </c>
      <c r="S4" s="52" t="s">
        <v>12</v>
      </c>
      <c r="T4" s="52" t="s">
        <v>12</v>
      </c>
      <c r="U4" s="52" t="s">
        <v>12</v>
      </c>
      <c r="V4" s="51" t="s">
        <v>13</v>
      </c>
      <c r="W4" s="51" t="s">
        <v>13</v>
      </c>
      <c r="X4" s="14" t="s">
        <v>12</v>
      </c>
      <c r="Y4" s="52" t="s">
        <v>12</v>
      </c>
      <c r="Z4" s="52" t="s">
        <v>12</v>
      </c>
      <c r="AA4" s="52" t="s">
        <v>12</v>
      </c>
      <c r="AB4" s="52" t="s">
        <v>12</v>
      </c>
      <c r="AC4" s="51" t="s">
        <v>13</v>
      </c>
      <c r="AD4" s="51" t="s">
        <v>13</v>
      </c>
      <c r="AE4" s="14" t="s">
        <v>12</v>
      </c>
      <c r="AF4" s="52" t="s">
        <v>12</v>
      </c>
      <c r="AG4" s="52" t="s">
        <v>12</v>
      </c>
      <c r="AH4" s="65"/>
      <c r="AI4" s="65"/>
      <c r="AJ4" s="28"/>
    </row>
    <row r="5" spans="1:48" hidden="1" x14ac:dyDescent="0.3">
      <c r="A5" s="34" t="s">
        <v>17</v>
      </c>
      <c r="B5" s="35" t="s">
        <v>18</v>
      </c>
      <c r="C5" s="53" t="s">
        <v>19</v>
      </c>
      <c r="D5" s="54" t="s">
        <v>19</v>
      </c>
      <c r="E5" s="54" t="s">
        <v>19</v>
      </c>
      <c r="F5" s="54" t="s">
        <v>19</v>
      </c>
      <c r="G5" s="54" t="s">
        <v>19</v>
      </c>
      <c r="H5" s="51" t="s">
        <v>13</v>
      </c>
      <c r="I5" s="51" t="s">
        <v>13</v>
      </c>
      <c r="J5" s="53" t="s">
        <v>19</v>
      </c>
      <c r="K5" s="54" t="s">
        <v>19</v>
      </c>
      <c r="L5" s="54" t="s">
        <v>19</v>
      </c>
      <c r="M5" s="54" t="s">
        <v>19</v>
      </c>
      <c r="N5" s="54" t="s">
        <v>19</v>
      </c>
      <c r="O5" s="51" t="s">
        <v>13</v>
      </c>
      <c r="P5" s="51" t="s">
        <v>13</v>
      </c>
      <c r="Q5" s="53" t="s">
        <v>19</v>
      </c>
      <c r="R5" s="54" t="s">
        <v>19</v>
      </c>
      <c r="S5" s="54" t="s">
        <v>19</v>
      </c>
      <c r="T5" s="54" t="s">
        <v>19</v>
      </c>
      <c r="U5" s="54" t="s">
        <v>19</v>
      </c>
      <c r="V5" s="51" t="s">
        <v>13</v>
      </c>
      <c r="W5" s="51" t="s">
        <v>13</v>
      </c>
      <c r="X5" s="53" t="s">
        <v>19</v>
      </c>
      <c r="Y5" s="54" t="s">
        <v>19</v>
      </c>
      <c r="Z5" s="54" t="s">
        <v>19</v>
      </c>
      <c r="AA5" s="54" t="s">
        <v>19</v>
      </c>
      <c r="AB5" s="54" t="s">
        <v>19</v>
      </c>
      <c r="AC5" s="51" t="s">
        <v>13</v>
      </c>
      <c r="AD5" s="51" t="s">
        <v>13</v>
      </c>
      <c r="AE5" s="53" t="s">
        <v>19</v>
      </c>
      <c r="AF5" s="54" t="s">
        <v>19</v>
      </c>
      <c r="AG5" s="54" t="s">
        <v>19</v>
      </c>
      <c r="AH5" s="65"/>
      <c r="AI5" s="65"/>
      <c r="AJ5" s="28"/>
    </row>
    <row r="6" spans="1:48" hidden="1" x14ac:dyDescent="0.3">
      <c r="A6" s="34" t="s">
        <v>22</v>
      </c>
      <c r="B6" s="35" t="s">
        <v>18</v>
      </c>
      <c r="C6" s="53" t="s">
        <v>19</v>
      </c>
      <c r="D6" s="54" t="s">
        <v>19</v>
      </c>
      <c r="E6" s="54" t="s">
        <v>19</v>
      </c>
      <c r="F6" s="54" t="s">
        <v>19</v>
      </c>
      <c r="G6" s="54" t="s">
        <v>19</v>
      </c>
      <c r="H6" s="51" t="s">
        <v>13</v>
      </c>
      <c r="I6" s="51" t="s">
        <v>13</v>
      </c>
      <c r="J6" s="53" t="s">
        <v>19</v>
      </c>
      <c r="K6" s="54" t="s">
        <v>19</v>
      </c>
      <c r="L6" s="54" t="s">
        <v>19</v>
      </c>
      <c r="M6" s="54" t="s">
        <v>19</v>
      </c>
      <c r="N6" s="54" t="s">
        <v>19</v>
      </c>
      <c r="O6" s="51" t="s">
        <v>13</v>
      </c>
      <c r="P6" s="51" t="s">
        <v>13</v>
      </c>
      <c r="Q6" s="53" t="s">
        <v>19</v>
      </c>
      <c r="R6" s="54" t="s">
        <v>19</v>
      </c>
      <c r="S6" s="54" t="s">
        <v>19</v>
      </c>
      <c r="T6" s="54" t="s">
        <v>19</v>
      </c>
      <c r="U6" s="54" t="s">
        <v>19</v>
      </c>
      <c r="V6" s="51" t="s">
        <v>13</v>
      </c>
      <c r="W6" s="51" t="s">
        <v>13</v>
      </c>
      <c r="X6" s="53" t="s">
        <v>19</v>
      </c>
      <c r="Y6" s="54" t="s">
        <v>19</v>
      </c>
      <c r="Z6" s="54" t="s">
        <v>19</v>
      </c>
      <c r="AA6" s="54" t="s">
        <v>19</v>
      </c>
      <c r="AB6" s="54" t="s">
        <v>19</v>
      </c>
      <c r="AC6" s="51" t="s">
        <v>13</v>
      </c>
      <c r="AD6" s="51" t="s">
        <v>13</v>
      </c>
      <c r="AE6" s="53" t="s">
        <v>19</v>
      </c>
      <c r="AF6" s="54" t="s">
        <v>19</v>
      </c>
      <c r="AG6" s="54" t="s">
        <v>19</v>
      </c>
      <c r="AH6" s="65"/>
      <c r="AI6" s="65"/>
      <c r="AJ6" s="28"/>
    </row>
    <row r="7" spans="1:48" x14ac:dyDescent="0.3">
      <c r="A7" s="40" t="s">
        <v>26</v>
      </c>
      <c r="B7" s="35" t="s">
        <v>11</v>
      </c>
      <c r="C7" s="55" t="s">
        <v>25</v>
      </c>
      <c r="D7" s="55" t="s">
        <v>25</v>
      </c>
      <c r="E7" s="55" t="s">
        <v>25</v>
      </c>
      <c r="F7" s="55" t="s">
        <v>25</v>
      </c>
      <c r="G7" s="55" t="s">
        <v>25</v>
      </c>
      <c r="H7" s="51" t="s">
        <v>13</v>
      </c>
      <c r="I7" s="51" t="s">
        <v>13</v>
      </c>
      <c r="J7" s="55" t="s">
        <v>25</v>
      </c>
      <c r="K7" s="55" t="s">
        <v>25</v>
      </c>
      <c r="L7" s="55" t="s">
        <v>25</v>
      </c>
      <c r="M7" s="55" t="s">
        <v>25</v>
      </c>
      <c r="N7" s="51" t="s">
        <v>13</v>
      </c>
      <c r="O7" s="57" t="s">
        <v>30</v>
      </c>
      <c r="P7" s="51" t="s">
        <v>13</v>
      </c>
      <c r="Q7" s="55" t="s">
        <v>25</v>
      </c>
      <c r="R7" s="55" t="s">
        <v>25</v>
      </c>
      <c r="S7" s="55" t="s">
        <v>25</v>
      </c>
      <c r="T7" s="55" t="s">
        <v>25</v>
      </c>
      <c r="U7" s="55" t="s">
        <v>25</v>
      </c>
      <c r="V7" s="51" t="s">
        <v>13</v>
      </c>
      <c r="W7" s="51" t="s">
        <v>13</v>
      </c>
      <c r="X7" s="55" t="s">
        <v>25</v>
      </c>
      <c r="Y7" s="55" t="s">
        <v>25</v>
      </c>
      <c r="Z7" s="55" t="s">
        <v>25</v>
      </c>
      <c r="AA7" s="43" t="s">
        <v>36</v>
      </c>
      <c r="AB7" s="55" t="s">
        <v>25</v>
      </c>
      <c r="AC7" s="51" t="s">
        <v>13</v>
      </c>
      <c r="AD7" s="51" t="s">
        <v>13</v>
      </c>
      <c r="AE7" s="55" t="s">
        <v>25</v>
      </c>
      <c r="AF7" s="55" t="s">
        <v>25</v>
      </c>
      <c r="AG7" s="55" t="s">
        <v>25</v>
      </c>
      <c r="AH7" s="65"/>
      <c r="AI7" s="65"/>
      <c r="AJ7" s="28"/>
    </row>
    <row r="8" spans="1:48" x14ac:dyDescent="0.3">
      <c r="A8" s="40" t="s">
        <v>35</v>
      </c>
      <c r="B8" s="35" t="s">
        <v>18</v>
      </c>
      <c r="C8" s="54" t="s">
        <v>19</v>
      </c>
      <c r="D8" s="54" t="s">
        <v>19</v>
      </c>
      <c r="E8" s="54" t="s">
        <v>19</v>
      </c>
      <c r="F8" s="54" t="s">
        <v>19</v>
      </c>
      <c r="G8" s="54" t="s">
        <v>19</v>
      </c>
      <c r="H8" s="51" t="s">
        <v>13</v>
      </c>
      <c r="I8" s="51" t="s">
        <v>13</v>
      </c>
      <c r="J8" s="54" t="s">
        <v>42</v>
      </c>
      <c r="K8" s="54" t="s">
        <v>42</v>
      </c>
      <c r="L8" s="54" t="s">
        <v>42</v>
      </c>
      <c r="M8" s="54" t="s">
        <v>42</v>
      </c>
      <c r="N8" s="54" t="s">
        <v>42</v>
      </c>
      <c r="O8" s="51" t="s">
        <v>13</v>
      </c>
      <c r="P8" s="51" t="s">
        <v>13</v>
      </c>
      <c r="Q8" s="44" t="s">
        <v>58</v>
      </c>
      <c r="R8" s="54" t="s">
        <v>42</v>
      </c>
      <c r="S8" s="54" t="s">
        <v>42</v>
      </c>
      <c r="T8" s="54" t="s">
        <v>42</v>
      </c>
      <c r="U8" s="54" t="s">
        <v>42</v>
      </c>
      <c r="V8" s="51" t="s">
        <v>13</v>
      </c>
      <c r="W8" s="51" t="s">
        <v>13</v>
      </c>
      <c r="X8" s="54" t="s">
        <v>19</v>
      </c>
      <c r="Y8" s="54" t="s">
        <v>19</v>
      </c>
      <c r="Z8" s="54" t="s">
        <v>19</v>
      </c>
      <c r="AA8" s="54" t="s">
        <v>19</v>
      </c>
      <c r="AB8" s="54" t="s">
        <v>19</v>
      </c>
      <c r="AC8" s="51" t="s">
        <v>13</v>
      </c>
      <c r="AD8" s="51" t="s">
        <v>13</v>
      </c>
      <c r="AE8" s="54" t="s">
        <v>19</v>
      </c>
      <c r="AF8" s="54" t="s">
        <v>19</v>
      </c>
      <c r="AG8" s="45" t="s">
        <v>59</v>
      </c>
      <c r="AH8" s="65"/>
      <c r="AI8" s="65"/>
      <c r="AJ8" s="28"/>
      <c r="AK8" s="28"/>
      <c r="AL8" s="28"/>
      <c r="AM8" s="28"/>
      <c r="AP8" s="28"/>
      <c r="AQ8" s="28" t="s">
        <v>65</v>
      </c>
      <c r="AR8" s="47" t="s">
        <v>66</v>
      </c>
      <c r="AS8" s="47" t="s">
        <v>67</v>
      </c>
      <c r="AT8" s="47"/>
      <c r="AU8" s="47"/>
    </row>
    <row r="9" spans="1:48" x14ac:dyDescent="0.3">
      <c r="A9" s="40" t="s">
        <v>39</v>
      </c>
      <c r="B9" s="35" t="s">
        <v>18</v>
      </c>
      <c r="C9" s="51" t="s">
        <v>13</v>
      </c>
      <c r="D9" s="54" t="s">
        <v>34</v>
      </c>
      <c r="E9" s="54" t="s">
        <v>34</v>
      </c>
      <c r="F9" s="54" t="s">
        <v>34</v>
      </c>
      <c r="G9" s="54" t="s">
        <v>34</v>
      </c>
      <c r="H9" s="21" t="s">
        <v>34</v>
      </c>
      <c r="I9" s="51" t="s">
        <v>13</v>
      </c>
      <c r="J9" s="54" t="s">
        <v>19</v>
      </c>
      <c r="K9" s="54" t="s">
        <v>19</v>
      </c>
      <c r="L9" s="54" t="s">
        <v>19</v>
      </c>
      <c r="M9" s="54" t="s">
        <v>19</v>
      </c>
      <c r="N9" s="45" t="s">
        <v>59</v>
      </c>
      <c r="O9" s="51" t="s">
        <v>13</v>
      </c>
      <c r="P9" s="51" t="s">
        <v>13</v>
      </c>
      <c r="Q9" s="54" t="s">
        <v>19</v>
      </c>
      <c r="R9" s="54" t="s">
        <v>19</v>
      </c>
      <c r="S9" s="54" t="s">
        <v>19</v>
      </c>
      <c r="T9" s="44" t="s">
        <v>58</v>
      </c>
      <c r="U9" s="54" t="s">
        <v>19</v>
      </c>
      <c r="V9" s="51" t="s">
        <v>13</v>
      </c>
      <c r="W9" s="51" t="s">
        <v>13</v>
      </c>
      <c r="X9" s="51" t="s">
        <v>13</v>
      </c>
      <c r="Y9" s="54" t="s">
        <v>34</v>
      </c>
      <c r="Z9" s="54" t="s">
        <v>34</v>
      </c>
      <c r="AA9" s="54" t="s">
        <v>34</v>
      </c>
      <c r="AB9" s="54" t="s">
        <v>34</v>
      </c>
      <c r="AC9" s="21" t="s">
        <v>34</v>
      </c>
      <c r="AD9" s="51" t="s">
        <v>13</v>
      </c>
      <c r="AE9" s="54" t="s">
        <v>34</v>
      </c>
      <c r="AF9" s="54" t="s">
        <v>34</v>
      </c>
      <c r="AG9" s="54" t="s">
        <v>34</v>
      </c>
      <c r="AH9" s="65"/>
      <c r="AI9" s="65"/>
      <c r="AJ9" s="28"/>
      <c r="AK9" s="12" t="s">
        <v>14</v>
      </c>
      <c r="AL9" s="12" t="s">
        <v>15</v>
      </c>
      <c r="AM9" s="13" t="s">
        <v>16</v>
      </c>
      <c r="AO9" t="s">
        <v>68</v>
      </c>
      <c r="AP9" t="s">
        <v>69</v>
      </c>
      <c r="AQ9" s="69" t="s">
        <v>34</v>
      </c>
      <c r="AR9" s="69" t="s">
        <v>42</v>
      </c>
      <c r="AS9" t="s">
        <v>70</v>
      </c>
      <c r="AV9" s="47"/>
    </row>
    <row r="10" spans="1:48" x14ac:dyDescent="0.3">
      <c r="A10" s="40" t="s">
        <v>43</v>
      </c>
      <c r="B10" s="35" t="s">
        <v>18</v>
      </c>
      <c r="C10" s="54" t="s">
        <v>34</v>
      </c>
      <c r="D10" s="54" t="s">
        <v>34</v>
      </c>
      <c r="E10" s="54" t="s">
        <v>34</v>
      </c>
      <c r="F10" s="54" t="s">
        <v>34</v>
      </c>
      <c r="G10" s="54" t="s">
        <v>34</v>
      </c>
      <c r="H10" s="51" t="s">
        <v>13</v>
      </c>
      <c r="I10" s="51" t="s">
        <v>13</v>
      </c>
      <c r="J10" s="54" t="s">
        <v>42</v>
      </c>
      <c r="K10" s="54" t="s">
        <v>42</v>
      </c>
      <c r="L10" s="54" t="s">
        <v>42</v>
      </c>
      <c r="M10" s="54" t="s">
        <v>42</v>
      </c>
      <c r="N10" s="54" t="s">
        <v>42</v>
      </c>
      <c r="O10" s="51" t="s">
        <v>13</v>
      </c>
      <c r="P10" s="51" t="s">
        <v>13</v>
      </c>
      <c r="Q10" s="54" t="s">
        <v>42</v>
      </c>
      <c r="R10" s="51" t="s">
        <v>13</v>
      </c>
      <c r="S10" s="54" t="s">
        <v>42</v>
      </c>
      <c r="T10" s="54" t="s">
        <v>42</v>
      </c>
      <c r="U10" s="54" t="s">
        <v>42</v>
      </c>
      <c r="V10" s="21" t="s">
        <v>42</v>
      </c>
      <c r="W10" s="51" t="s">
        <v>13</v>
      </c>
      <c r="X10" s="54" t="s">
        <v>19</v>
      </c>
      <c r="Y10" s="54" t="s">
        <v>19</v>
      </c>
      <c r="Z10" s="54" t="s">
        <v>19</v>
      </c>
      <c r="AA10" s="54" t="s">
        <v>19</v>
      </c>
      <c r="AB10" s="54" t="s">
        <v>19</v>
      </c>
      <c r="AC10" s="51" t="s">
        <v>13</v>
      </c>
      <c r="AD10" s="51" t="s">
        <v>13</v>
      </c>
      <c r="AE10" s="45" t="s">
        <v>59</v>
      </c>
      <c r="AF10" s="43" t="s">
        <v>36</v>
      </c>
      <c r="AG10" s="43" t="s">
        <v>36</v>
      </c>
      <c r="AH10" s="65"/>
      <c r="AI10" s="65"/>
      <c r="AJ10" s="28"/>
      <c r="AK10" s="9" t="s">
        <v>20</v>
      </c>
      <c r="AL10" s="14" t="s">
        <v>21</v>
      </c>
      <c r="AM10" s="15" t="s">
        <v>12</v>
      </c>
      <c r="AO10" t="s">
        <v>71</v>
      </c>
      <c r="AP10" s="28" t="s">
        <v>72</v>
      </c>
      <c r="AQ10" s="47" t="s">
        <v>34</v>
      </c>
      <c r="AR10" s="47" t="s">
        <v>19</v>
      </c>
      <c r="AS10" s="28" t="s">
        <v>73</v>
      </c>
    </row>
    <row r="11" spans="1:48" x14ac:dyDescent="0.3">
      <c r="A11" s="40" t="s">
        <v>44</v>
      </c>
      <c r="B11" s="35" t="s">
        <v>18</v>
      </c>
      <c r="C11" s="51" t="s">
        <v>13</v>
      </c>
      <c r="D11" s="54" t="s">
        <v>42</v>
      </c>
      <c r="E11" s="54" t="s">
        <v>42</v>
      </c>
      <c r="F11" s="54" t="s">
        <v>42</v>
      </c>
      <c r="G11" s="54" t="s">
        <v>42</v>
      </c>
      <c r="H11" s="21" t="s">
        <v>42</v>
      </c>
      <c r="I11" s="51" t="s">
        <v>13</v>
      </c>
      <c r="J11" s="44" t="s">
        <v>58</v>
      </c>
      <c r="K11" s="44" t="s">
        <v>58</v>
      </c>
      <c r="L11" s="44" t="s">
        <v>58</v>
      </c>
      <c r="M11" s="44" t="s">
        <v>58</v>
      </c>
      <c r="N11" s="44" t="s">
        <v>58</v>
      </c>
      <c r="O11" s="51" t="s">
        <v>13</v>
      </c>
      <c r="P11" s="51" t="s">
        <v>13</v>
      </c>
      <c r="Q11" s="44" t="s">
        <v>58</v>
      </c>
      <c r="R11" s="44" t="s">
        <v>58</v>
      </c>
      <c r="S11" s="44" t="s">
        <v>58</v>
      </c>
      <c r="T11" s="44" t="s">
        <v>58</v>
      </c>
      <c r="U11" s="44" t="s">
        <v>58</v>
      </c>
      <c r="V11" s="51" t="s">
        <v>13</v>
      </c>
      <c r="W11" s="51" t="s">
        <v>13</v>
      </c>
      <c r="X11" s="54" t="s">
        <v>42</v>
      </c>
      <c r="Y11" s="54" t="s">
        <v>42</v>
      </c>
      <c r="Z11" s="54" t="s">
        <v>42</v>
      </c>
      <c r="AA11" s="54" t="s">
        <v>42</v>
      </c>
      <c r="AB11" s="45" t="s">
        <v>59</v>
      </c>
      <c r="AC11" s="51" t="s">
        <v>13</v>
      </c>
      <c r="AD11" s="51" t="s">
        <v>13</v>
      </c>
      <c r="AE11" s="54" t="s">
        <v>42</v>
      </c>
      <c r="AF11" s="54" t="s">
        <v>42</v>
      </c>
      <c r="AG11" s="54" t="s">
        <v>42</v>
      </c>
      <c r="AH11" s="65"/>
      <c r="AI11" s="65"/>
      <c r="AJ11" s="28"/>
      <c r="AK11" s="9" t="s">
        <v>23</v>
      </c>
      <c r="AL11" s="14" t="s">
        <v>63</v>
      </c>
      <c r="AM11" s="15" t="s">
        <v>25</v>
      </c>
    </row>
    <row r="12" spans="1:48" x14ac:dyDescent="0.3">
      <c r="A12" s="40" t="s">
        <v>45</v>
      </c>
      <c r="B12" s="35" t="s">
        <v>18</v>
      </c>
      <c r="C12" s="54" t="s">
        <v>19</v>
      </c>
      <c r="D12" s="54" t="s">
        <v>19</v>
      </c>
      <c r="E12" s="54" t="s">
        <v>19</v>
      </c>
      <c r="F12" s="45" t="s">
        <v>59</v>
      </c>
      <c r="G12" s="45" t="s">
        <v>59</v>
      </c>
      <c r="H12" s="51" t="s">
        <v>13</v>
      </c>
      <c r="I12" s="51" t="s">
        <v>13</v>
      </c>
      <c r="J12" s="53" t="s">
        <v>34</v>
      </c>
      <c r="K12" s="53" t="s">
        <v>34</v>
      </c>
      <c r="L12" s="53" t="s">
        <v>34</v>
      </c>
      <c r="M12" s="43" t="s">
        <v>36</v>
      </c>
      <c r="N12" s="43" t="s">
        <v>36</v>
      </c>
      <c r="O12" s="51" t="s">
        <v>13</v>
      </c>
      <c r="P12" s="51" t="s">
        <v>13</v>
      </c>
      <c r="Q12" s="53" t="s">
        <v>34</v>
      </c>
      <c r="R12" s="53" t="s">
        <v>34</v>
      </c>
      <c r="S12" s="53" t="s">
        <v>34</v>
      </c>
      <c r="T12" s="51" t="s">
        <v>13</v>
      </c>
      <c r="U12" s="45" t="s">
        <v>59</v>
      </c>
      <c r="V12" s="57" t="s">
        <v>19</v>
      </c>
      <c r="W12" s="51" t="s">
        <v>13</v>
      </c>
      <c r="X12" s="54" t="s">
        <v>34</v>
      </c>
      <c r="Y12" s="54" t="s">
        <v>34</v>
      </c>
      <c r="Z12" s="54" t="s">
        <v>34</v>
      </c>
      <c r="AA12" s="54" t="s">
        <v>34</v>
      </c>
      <c r="AB12" s="54" t="s">
        <v>34</v>
      </c>
      <c r="AC12" s="51" t="s">
        <v>13</v>
      </c>
      <c r="AD12" s="51" t="s">
        <v>13</v>
      </c>
      <c r="AE12" s="54" t="s">
        <v>34</v>
      </c>
      <c r="AF12" s="54" t="s">
        <v>34</v>
      </c>
      <c r="AG12" s="54" t="s">
        <v>34</v>
      </c>
      <c r="AH12" s="65"/>
      <c r="AI12" s="65"/>
      <c r="AJ12" s="28"/>
      <c r="AK12" s="9" t="s">
        <v>28</v>
      </c>
      <c r="AL12" s="14" t="s">
        <v>29</v>
      </c>
      <c r="AM12" s="15" t="s">
        <v>30</v>
      </c>
    </row>
    <row r="13" spans="1:48" x14ac:dyDescent="0.3">
      <c r="A13" s="40" t="s">
        <v>49</v>
      </c>
      <c r="B13" s="61" t="s">
        <v>18</v>
      </c>
      <c r="C13" s="9" t="s">
        <v>42</v>
      </c>
      <c r="D13" s="9" t="s">
        <v>42</v>
      </c>
      <c r="E13" s="9" t="s">
        <v>42</v>
      </c>
      <c r="F13" s="9" t="s">
        <v>42</v>
      </c>
      <c r="G13" s="9" t="s">
        <v>42</v>
      </c>
      <c r="H13" s="11" t="s">
        <v>13</v>
      </c>
      <c r="I13" s="11" t="s">
        <v>13</v>
      </c>
      <c r="J13" s="9" t="s">
        <v>19</v>
      </c>
      <c r="K13" s="11" t="s">
        <v>13</v>
      </c>
      <c r="L13" s="9" t="s">
        <v>19</v>
      </c>
      <c r="M13" s="9" t="s">
        <v>19</v>
      </c>
      <c r="N13" s="9" t="s">
        <v>19</v>
      </c>
      <c r="O13" s="21" t="s">
        <v>19</v>
      </c>
      <c r="P13" s="11" t="s">
        <v>13</v>
      </c>
      <c r="Q13" s="9" t="s">
        <v>19</v>
      </c>
      <c r="R13" s="9" t="s">
        <v>19</v>
      </c>
      <c r="S13" s="9" t="s">
        <v>19</v>
      </c>
      <c r="T13" s="9" t="s">
        <v>19</v>
      </c>
      <c r="U13" s="67" t="s">
        <v>36</v>
      </c>
      <c r="V13" s="11" t="s">
        <v>13</v>
      </c>
      <c r="W13" s="11" t="s">
        <v>13</v>
      </c>
      <c r="X13" s="9" t="s">
        <v>19</v>
      </c>
      <c r="Y13" s="44" t="s">
        <v>58</v>
      </c>
      <c r="Z13" s="44" t="s">
        <v>58</v>
      </c>
      <c r="AA13" s="44" t="s">
        <v>58</v>
      </c>
      <c r="AB13" s="44" t="s">
        <v>58</v>
      </c>
      <c r="AC13" s="51" t="s">
        <v>13</v>
      </c>
      <c r="AD13" s="11" t="s">
        <v>13</v>
      </c>
      <c r="AE13" s="44" t="s">
        <v>58</v>
      </c>
      <c r="AF13" s="44" t="s">
        <v>58</v>
      </c>
      <c r="AG13" s="45" t="s">
        <v>59</v>
      </c>
      <c r="AH13" s="65"/>
      <c r="AI13" s="65"/>
      <c r="AJ13" s="28"/>
      <c r="AK13" s="9" t="s">
        <v>32</v>
      </c>
      <c r="AL13" s="9" t="s">
        <v>33</v>
      </c>
      <c r="AM13" s="18" t="s">
        <v>34</v>
      </c>
    </row>
    <row r="14" spans="1:48" x14ac:dyDescent="0.3">
      <c r="A14" s="40" t="s">
        <v>52</v>
      </c>
      <c r="B14" s="61" t="s">
        <v>18</v>
      </c>
      <c r="C14" s="9" t="s">
        <v>34</v>
      </c>
      <c r="D14" s="9" t="s">
        <v>34</v>
      </c>
      <c r="E14" s="9" t="s">
        <v>34</v>
      </c>
      <c r="F14" s="9" t="s">
        <v>34</v>
      </c>
      <c r="G14" s="9" t="s">
        <v>34</v>
      </c>
      <c r="H14" s="11" t="s">
        <v>13</v>
      </c>
      <c r="I14" s="11" t="s">
        <v>13</v>
      </c>
      <c r="J14" s="11" t="s">
        <v>13</v>
      </c>
      <c r="K14" s="9" t="s">
        <v>34</v>
      </c>
      <c r="L14" s="9" t="s">
        <v>34</v>
      </c>
      <c r="M14" s="9" t="s">
        <v>34</v>
      </c>
      <c r="N14" s="9" t="s">
        <v>34</v>
      </c>
      <c r="O14" s="21" t="s">
        <v>34</v>
      </c>
      <c r="P14" s="11" t="s">
        <v>13</v>
      </c>
      <c r="Q14" s="9" t="s">
        <v>34</v>
      </c>
      <c r="R14" s="9" t="s">
        <v>34</v>
      </c>
      <c r="S14" s="9" t="s">
        <v>34</v>
      </c>
      <c r="T14" s="9" t="s">
        <v>34</v>
      </c>
      <c r="U14" s="9" t="s">
        <v>34</v>
      </c>
      <c r="V14" s="11" t="s">
        <v>13</v>
      </c>
      <c r="W14" s="11" t="s">
        <v>13</v>
      </c>
      <c r="X14" s="67" t="s">
        <v>36</v>
      </c>
      <c r="Y14" s="67" t="s">
        <v>36</v>
      </c>
      <c r="Z14" s="67" t="s">
        <v>36</v>
      </c>
      <c r="AA14" s="67" t="s">
        <v>36</v>
      </c>
      <c r="AB14" s="67" t="s">
        <v>36</v>
      </c>
      <c r="AC14" s="11" t="s">
        <v>13</v>
      </c>
      <c r="AD14" s="11" t="s">
        <v>13</v>
      </c>
      <c r="AE14" s="67" t="s">
        <v>36</v>
      </c>
      <c r="AF14" s="9" t="s">
        <v>19</v>
      </c>
      <c r="AG14" s="9" t="s">
        <v>19</v>
      </c>
      <c r="AH14" s="65"/>
      <c r="AI14" s="65"/>
      <c r="AJ14" s="28"/>
      <c r="AK14" s="9" t="s">
        <v>37</v>
      </c>
      <c r="AL14" s="9" t="s">
        <v>38</v>
      </c>
      <c r="AM14" s="18" t="s">
        <v>19</v>
      </c>
    </row>
    <row r="15" spans="1:48" x14ac:dyDescent="0.3">
      <c r="A15" s="40" t="s">
        <v>54</v>
      </c>
      <c r="B15" s="61" t="s">
        <v>18</v>
      </c>
      <c r="C15" s="9" t="s">
        <v>19</v>
      </c>
      <c r="D15" s="11" t="s">
        <v>13</v>
      </c>
      <c r="E15" s="67" t="s">
        <v>36</v>
      </c>
      <c r="F15" s="9" t="s">
        <v>19</v>
      </c>
      <c r="G15" s="9" t="s">
        <v>19</v>
      </c>
      <c r="H15" s="21" t="s">
        <v>19</v>
      </c>
      <c r="I15" s="11" t="s">
        <v>13</v>
      </c>
      <c r="J15" s="9" t="s">
        <v>42</v>
      </c>
      <c r="K15" s="9" t="s">
        <v>42</v>
      </c>
      <c r="L15" s="9" t="s">
        <v>42</v>
      </c>
      <c r="M15" s="9" t="s">
        <v>42</v>
      </c>
      <c r="N15" s="9" t="s">
        <v>42</v>
      </c>
      <c r="O15" s="11" t="s">
        <v>13</v>
      </c>
      <c r="P15" s="11" t="s">
        <v>13</v>
      </c>
      <c r="Q15" s="9" t="s">
        <v>42</v>
      </c>
      <c r="R15" s="9" t="s">
        <v>42</v>
      </c>
      <c r="S15" s="9" t="s">
        <v>42</v>
      </c>
      <c r="T15" s="67" t="s">
        <v>36</v>
      </c>
      <c r="U15" s="9" t="s">
        <v>42</v>
      </c>
      <c r="V15" s="11" t="s">
        <v>13</v>
      </c>
      <c r="W15" s="11" t="s">
        <v>13</v>
      </c>
      <c r="X15" s="11" t="s">
        <v>13</v>
      </c>
      <c r="Y15" s="9" t="s">
        <v>42</v>
      </c>
      <c r="Z15" s="9" t="s">
        <v>42</v>
      </c>
      <c r="AA15" s="9" t="s">
        <v>42</v>
      </c>
      <c r="AB15" s="9" t="s">
        <v>42</v>
      </c>
      <c r="AC15" s="21" t="s">
        <v>42</v>
      </c>
      <c r="AD15" s="11" t="s">
        <v>13</v>
      </c>
      <c r="AE15" s="9" t="s">
        <v>42</v>
      </c>
      <c r="AF15" s="9" t="s">
        <v>42</v>
      </c>
      <c r="AG15" s="67" t="s">
        <v>36</v>
      </c>
      <c r="AH15" s="65"/>
      <c r="AI15" s="65"/>
      <c r="AJ15" s="28"/>
      <c r="AK15" s="9" t="s">
        <v>40</v>
      </c>
      <c r="AL15" s="9" t="s">
        <v>41</v>
      </c>
      <c r="AM15" s="18" t="s">
        <v>42</v>
      </c>
    </row>
    <row r="16" spans="1:48" x14ac:dyDescent="0.3">
      <c r="A16" s="40" t="s">
        <v>74</v>
      </c>
      <c r="B16" s="61" t="s">
        <v>18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11" t="s">
        <v>13</v>
      </c>
      <c r="I16" s="11" t="s">
        <v>13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11" t="s">
        <v>13</v>
      </c>
      <c r="P16" s="11" t="s">
        <v>13</v>
      </c>
      <c r="Q16" s="9" t="s">
        <v>19</v>
      </c>
      <c r="R16" s="9" t="s">
        <v>19</v>
      </c>
      <c r="S16" s="9" t="s">
        <v>19</v>
      </c>
      <c r="T16" s="9" t="s">
        <v>19</v>
      </c>
      <c r="U16" s="9" t="s">
        <v>19</v>
      </c>
      <c r="V16" s="11" t="s">
        <v>13</v>
      </c>
      <c r="W16" s="11" t="s">
        <v>13</v>
      </c>
      <c r="X16" s="9" t="s">
        <v>42</v>
      </c>
      <c r="Y16" s="9" t="s">
        <v>42</v>
      </c>
      <c r="Z16" s="9" t="s">
        <v>42</v>
      </c>
      <c r="AA16" s="9" t="s">
        <v>42</v>
      </c>
      <c r="AB16" s="9" t="s">
        <v>42</v>
      </c>
      <c r="AC16" s="11" t="s">
        <v>13</v>
      </c>
      <c r="AD16" s="11" t="s">
        <v>13</v>
      </c>
      <c r="AE16" s="9" t="s">
        <v>42</v>
      </c>
      <c r="AF16" s="9" t="s">
        <v>42</v>
      </c>
      <c r="AG16" s="9" t="s">
        <v>42</v>
      </c>
      <c r="AH16" s="65"/>
      <c r="AI16" s="65"/>
      <c r="AJ16" s="28"/>
      <c r="AK16" s="28"/>
      <c r="AL16" s="28"/>
      <c r="AM16" s="28"/>
    </row>
    <row r="17" spans="1:39" x14ac:dyDescent="0.3">
      <c r="A17" s="40" t="s">
        <v>75</v>
      </c>
      <c r="B17" s="61" t="s">
        <v>18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11" t="s">
        <v>13</v>
      </c>
      <c r="I17" s="11" t="s">
        <v>13</v>
      </c>
      <c r="J17" s="9" t="s">
        <v>34</v>
      </c>
      <c r="K17" s="9" t="s">
        <v>34</v>
      </c>
      <c r="L17" s="9" t="s">
        <v>34</v>
      </c>
      <c r="M17" s="9" t="s">
        <v>34</v>
      </c>
      <c r="N17" s="9" t="s">
        <v>34</v>
      </c>
      <c r="O17" s="11" t="s">
        <v>13</v>
      </c>
      <c r="P17" s="11" t="s">
        <v>13</v>
      </c>
      <c r="Q17" s="9" t="s">
        <v>34</v>
      </c>
      <c r="R17" s="9" t="s">
        <v>34</v>
      </c>
      <c r="S17" s="9" t="s">
        <v>34</v>
      </c>
      <c r="T17" s="9" t="s">
        <v>34</v>
      </c>
      <c r="U17" s="9" t="s">
        <v>34</v>
      </c>
      <c r="V17" s="21" t="s">
        <v>34</v>
      </c>
      <c r="W17" s="11" t="s">
        <v>13</v>
      </c>
      <c r="X17" s="9" t="s">
        <v>34</v>
      </c>
      <c r="Y17" s="11" t="s">
        <v>13</v>
      </c>
      <c r="Z17" s="67" t="s">
        <v>36</v>
      </c>
      <c r="AA17" s="9" t="s">
        <v>19</v>
      </c>
      <c r="AB17" s="9" t="s">
        <v>19</v>
      </c>
      <c r="AC17" s="21" t="s">
        <v>19</v>
      </c>
      <c r="AD17" s="11" t="s">
        <v>13</v>
      </c>
      <c r="AE17" s="9" t="s">
        <v>19</v>
      </c>
      <c r="AF17" s="44" t="s">
        <v>58</v>
      </c>
      <c r="AG17" s="44" t="s">
        <v>58</v>
      </c>
      <c r="AH17" s="65"/>
      <c r="AI17" s="65"/>
      <c r="AJ17" s="28"/>
      <c r="AK17" s="28"/>
      <c r="AL17" s="28"/>
      <c r="AM17" s="28"/>
    </row>
    <row r="18" spans="1:39" x14ac:dyDescent="0.3">
      <c r="A18" s="40" t="s">
        <v>76</v>
      </c>
      <c r="B18" s="61" t="s">
        <v>18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9" t="s">
        <v>19</v>
      </c>
      <c r="U18" s="9" t="s">
        <v>19</v>
      </c>
      <c r="V18" s="11" t="s">
        <v>13</v>
      </c>
      <c r="W18" s="11" t="s">
        <v>13</v>
      </c>
      <c r="X18" s="9" t="s">
        <v>19</v>
      </c>
      <c r="Y18" s="9" t="s">
        <v>19</v>
      </c>
      <c r="Z18" s="9" t="s">
        <v>19</v>
      </c>
      <c r="AA18" s="9" t="s">
        <v>19</v>
      </c>
      <c r="AB18" s="9" t="s">
        <v>19</v>
      </c>
      <c r="AC18" s="11" t="s">
        <v>13</v>
      </c>
      <c r="AD18" s="11" t="s">
        <v>13</v>
      </c>
      <c r="AE18" s="9" t="s">
        <v>19</v>
      </c>
      <c r="AF18" s="9" t="s">
        <v>19</v>
      </c>
      <c r="AG18" s="9" t="s">
        <v>19</v>
      </c>
      <c r="AH18" s="47"/>
      <c r="AI18" s="47"/>
      <c r="AJ18" s="28"/>
      <c r="AK18" s="20" t="s">
        <v>16</v>
      </c>
      <c r="AL18" s="27"/>
      <c r="AM18" s="28"/>
    </row>
    <row r="19" spans="1:39" x14ac:dyDescent="0.3">
      <c r="AH19" s="47"/>
      <c r="AI19" s="47"/>
      <c r="AJ19" s="28"/>
      <c r="AK19" s="9" t="s">
        <v>47</v>
      </c>
      <c r="AL19" s="21" t="s">
        <v>46</v>
      </c>
      <c r="AM19" s="28"/>
    </row>
    <row r="20" spans="1:39" x14ac:dyDescent="0.3">
      <c r="A20" s="66" t="s">
        <v>34</v>
      </c>
      <c r="C20">
        <f>COUNTIFS(C$7:C$19,"M")</f>
        <v>2</v>
      </c>
      <c r="D20">
        <f t="shared" ref="D20:AG20" si="0">COUNTIFS(D$7:D$19,"M")</f>
        <v>3</v>
      </c>
      <c r="E20">
        <f t="shared" si="0"/>
        <v>3</v>
      </c>
      <c r="F20">
        <f t="shared" si="0"/>
        <v>3</v>
      </c>
      <c r="G20">
        <f t="shared" si="0"/>
        <v>3</v>
      </c>
      <c r="H20" s="68">
        <f t="shared" si="0"/>
        <v>1</v>
      </c>
      <c r="I20" s="68">
        <f t="shared" si="0"/>
        <v>0</v>
      </c>
      <c r="J20">
        <f t="shared" si="0"/>
        <v>2</v>
      </c>
      <c r="K20">
        <f t="shared" si="0"/>
        <v>3</v>
      </c>
      <c r="L20">
        <f t="shared" si="0"/>
        <v>3</v>
      </c>
      <c r="M20">
        <f t="shared" si="0"/>
        <v>2</v>
      </c>
      <c r="N20">
        <f t="shared" si="0"/>
        <v>2</v>
      </c>
      <c r="O20" s="68">
        <f t="shared" si="0"/>
        <v>1</v>
      </c>
      <c r="P20" s="68">
        <f t="shared" si="0"/>
        <v>0</v>
      </c>
      <c r="Q20">
        <f t="shared" si="0"/>
        <v>3</v>
      </c>
      <c r="R20">
        <f t="shared" si="0"/>
        <v>3</v>
      </c>
      <c r="S20">
        <f t="shared" si="0"/>
        <v>3</v>
      </c>
      <c r="T20">
        <f t="shared" si="0"/>
        <v>2</v>
      </c>
      <c r="U20">
        <f t="shared" si="0"/>
        <v>2</v>
      </c>
      <c r="V20" s="68">
        <f t="shared" si="0"/>
        <v>1</v>
      </c>
      <c r="W20" s="68">
        <f t="shared" si="0"/>
        <v>0</v>
      </c>
      <c r="X20">
        <f t="shared" si="0"/>
        <v>2</v>
      </c>
      <c r="Y20">
        <f t="shared" si="0"/>
        <v>2</v>
      </c>
      <c r="Z20">
        <f t="shared" si="0"/>
        <v>2</v>
      </c>
      <c r="AA20">
        <f t="shared" si="0"/>
        <v>2</v>
      </c>
      <c r="AB20">
        <f t="shared" si="0"/>
        <v>2</v>
      </c>
      <c r="AC20" s="68">
        <f t="shared" si="0"/>
        <v>1</v>
      </c>
      <c r="AD20" s="68">
        <f t="shared" si="0"/>
        <v>0</v>
      </c>
      <c r="AE20">
        <f t="shared" si="0"/>
        <v>2</v>
      </c>
      <c r="AF20">
        <f t="shared" si="0"/>
        <v>2</v>
      </c>
      <c r="AG20">
        <f t="shared" si="0"/>
        <v>2</v>
      </c>
      <c r="AH20" s="47"/>
      <c r="AI20" s="47"/>
      <c r="AJ20" s="28"/>
      <c r="AK20" s="9" t="s">
        <v>50</v>
      </c>
      <c r="AL20" s="21" t="s">
        <v>27</v>
      </c>
      <c r="AM20" s="28"/>
    </row>
    <row r="21" spans="1:39" x14ac:dyDescent="0.3">
      <c r="A21" s="66" t="s">
        <v>19</v>
      </c>
      <c r="C21">
        <f>COUNTIFS(C$7:C$19,"N")</f>
        <v>5</v>
      </c>
      <c r="D21">
        <f t="shared" ref="D21:AG21" si="1">COUNTIFS(D$7:D$19,"N")</f>
        <v>4</v>
      </c>
      <c r="E21">
        <f t="shared" si="1"/>
        <v>4</v>
      </c>
      <c r="F21">
        <f t="shared" si="1"/>
        <v>4</v>
      </c>
      <c r="G21">
        <f t="shared" si="1"/>
        <v>4</v>
      </c>
      <c r="H21" s="68">
        <f t="shared" si="1"/>
        <v>1</v>
      </c>
      <c r="I21" s="68">
        <f t="shared" si="1"/>
        <v>0</v>
      </c>
      <c r="J21">
        <f t="shared" si="1"/>
        <v>3</v>
      </c>
      <c r="K21">
        <f t="shared" si="1"/>
        <v>2</v>
      </c>
      <c r="L21">
        <f t="shared" si="1"/>
        <v>3</v>
      </c>
      <c r="M21">
        <f t="shared" si="1"/>
        <v>3</v>
      </c>
      <c r="N21">
        <f t="shared" si="1"/>
        <v>2</v>
      </c>
      <c r="O21" s="68">
        <f t="shared" si="1"/>
        <v>1</v>
      </c>
      <c r="P21" s="68">
        <f t="shared" si="1"/>
        <v>0</v>
      </c>
      <c r="Q21">
        <f t="shared" si="1"/>
        <v>3</v>
      </c>
      <c r="R21">
        <f t="shared" si="1"/>
        <v>3</v>
      </c>
      <c r="S21">
        <f t="shared" si="1"/>
        <v>3</v>
      </c>
      <c r="T21">
        <f t="shared" si="1"/>
        <v>3</v>
      </c>
      <c r="U21">
        <f t="shared" si="1"/>
        <v>3</v>
      </c>
      <c r="V21" s="68">
        <f t="shared" si="1"/>
        <v>1</v>
      </c>
      <c r="W21" s="68">
        <f t="shared" si="1"/>
        <v>0</v>
      </c>
      <c r="X21">
        <f t="shared" si="1"/>
        <v>4</v>
      </c>
      <c r="Y21">
        <f t="shared" si="1"/>
        <v>3</v>
      </c>
      <c r="Z21">
        <f t="shared" si="1"/>
        <v>3</v>
      </c>
      <c r="AA21">
        <f t="shared" si="1"/>
        <v>4</v>
      </c>
      <c r="AB21">
        <f t="shared" si="1"/>
        <v>4</v>
      </c>
      <c r="AC21" s="68">
        <f t="shared" si="1"/>
        <v>1</v>
      </c>
      <c r="AD21" s="68">
        <f t="shared" si="1"/>
        <v>0</v>
      </c>
      <c r="AE21">
        <f t="shared" si="1"/>
        <v>3</v>
      </c>
      <c r="AF21">
        <f t="shared" si="1"/>
        <v>3</v>
      </c>
      <c r="AG21">
        <f t="shared" si="1"/>
        <v>2</v>
      </c>
      <c r="AK21" s="9" t="s">
        <v>53</v>
      </c>
      <c r="AL21" s="22" t="s">
        <v>13</v>
      </c>
      <c r="AM21" s="28"/>
    </row>
    <row r="22" spans="1:39" x14ac:dyDescent="0.3">
      <c r="A22" s="66" t="s">
        <v>42</v>
      </c>
      <c r="C22">
        <f>SUM(COUNTIFS(C$7:C$19,"NT")+COUNTIFS(C$7:C$19,"OM")+COUNTIFS(C$7:C$19,"ON"))</f>
        <v>2</v>
      </c>
      <c r="D22">
        <f t="shared" ref="D22:AG22" si="2">SUM(COUNTIFS(D$7:D$19,"NT")+COUNTIFS(D$7:D$19,"OM")+COUNTIFS(D$7:D$19,"ON"))</f>
        <v>3</v>
      </c>
      <c r="E22">
        <f t="shared" si="2"/>
        <v>3</v>
      </c>
      <c r="F22">
        <f t="shared" si="2"/>
        <v>3</v>
      </c>
      <c r="G22">
        <f t="shared" si="2"/>
        <v>3</v>
      </c>
      <c r="H22" s="68">
        <f t="shared" si="2"/>
        <v>1</v>
      </c>
      <c r="I22" s="68">
        <f t="shared" si="2"/>
        <v>0</v>
      </c>
      <c r="J22">
        <f t="shared" si="2"/>
        <v>4</v>
      </c>
      <c r="K22">
        <f t="shared" si="2"/>
        <v>4</v>
      </c>
      <c r="L22">
        <f t="shared" si="2"/>
        <v>4</v>
      </c>
      <c r="M22">
        <f t="shared" si="2"/>
        <v>4</v>
      </c>
      <c r="N22">
        <f t="shared" si="2"/>
        <v>3</v>
      </c>
      <c r="O22" s="68">
        <f t="shared" si="2"/>
        <v>1</v>
      </c>
      <c r="P22" s="68">
        <f t="shared" si="2"/>
        <v>0</v>
      </c>
      <c r="Q22">
        <f t="shared" si="2"/>
        <v>3</v>
      </c>
      <c r="R22">
        <f t="shared" si="2"/>
        <v>3</v>
      </c>
      <c r="S22">
        <f t="shared" si="2"/>
        <v>4</v>
      </c>
      <c r="T22">
        <f t="shared" si="2"/>
        <v>3</v>
      </c>
      <c r="U22">
        <f t="shared" si="2"/>
        <v>4</v>
      </c>
      <c r="V22" s="68">
        <f t="shared" si="2"/>
        <v>1</v>
      </c>
      <c r="W22" s="68">
        <f t="shared" si="2"/>
        <v>0</v>
      </c>
      <c r="X22">
        <f t="shared" si="2"/>
        <v>3</v>
      </c>
      <c r="Y22">
        <f t="shared" si="2"/>
        <v>4</v>
      </c>
      <c r="Z22">
        <f t="shared" si="2"/>
        <v>4</v>
      </c>
      <c r="AA22">
        <f t="shared" si="2"/>
        <v>3</v>
      </c>
      <c r="AB22">
        <f t="shared" si="2"/>
        <v>3</v>
      </c>
      <c r="AC22" s="68">
        <f t="shared" si="2"/>
        <v>1</v>
      </c>
      <c r="AD22" s="68">
        <f t="shared" si="2"/>
        <v>0</v>
      </c>
      <c r="AE22">
        <f t="shared" si="2"/>
        <v>4</v>
      </c>
      <c r="AF22">
        <f t="shared" si="2"/>
        <v>4</v>
      </c>
      <c r="AG22">
        <f t="shared" si="2"/>
        <v>3</v>
      </c>
      <c r="AK22" s="9" t="s">
        <v>55</v>
      </c>
      <c r="AL22" s="19" t="s">
        <v>36</v>
      </c>
      <c r="AM22" s="28"/>
    </row>
    <row r="23" spans="1:39" x14ac:dyDescent="0.3">
      <c r="AK23" s="9" t="s">
        <v>77</v>
      </c>
      <c r="AL23" s="44" t="s">
        <v>58</v>
      </c>
      <c r="AM23" s="28"/>
    </row>
  </sheetData>
  <mergeCells count="1">
    <mergeCell ref="A2:B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E30F-4341-446F-9A23-9475AED8BA4D}">
  <dimension ref="A1:AQ24"/>
  <sheetViews>
    <sheetView zoomScale="90" zoomScaleNormal="90" workbookViewId="0">
      <pane xSplit="1" topLeftCell="B1" activePane="topRight" state="frozen"/>
      <selection pane="topRight" activeCell="U2" sqref="U2:AG2"/>
    </sheetView>
  </sheetViews>
  <sheetFormatPr defaultRowHeight="14.4" x14ac:dyDescent="0.3"/>
  <cols>
    <col min="1" max="1" width="15.21875" bestFit="1" customWidth="1"/>
    <col min="2" max="2" width="9.5546875" bestFit="1" customWidth="1"/>
    <col min="3" max="3" width="3.5546875" bestFit="1" customWidth="1"/>
    <col min="4" max="6" width="3.44140625" bestFit="1" customWidth="1"/>
    <col min="7" max="9" width="3.21875" bestFit="1" customWidth="1"/>
    <col min="10" max="10" width="3" bestFit="1" customWidth="1"/>
    <col min="11" max="11" width="3.21875" bestFit="1" customWidth="1"/>
    <col min="12" max="13" width="3.44140625" bestFit="1" customWidth="1"/>
    <col min="14" max="18" width="3.21875" bestFit="1" customWidth="1"/>
    <col min="19" max="20" width="3.44140625" bestFit="1" customWidth="1"/>
    <col min="21" max="25" width="3.21875" bestFit="1" customWidth="1"/>
    <col min="26" max="27" width="3.44140625" bestFit="1" customWidth="1"/>
    <col min="28" max="32" width="3.21875" bestFit="1" customWidth="1"/>
    <col min="33" max="33" width="3.44140625" bestFit="1" customWidth="1"/>
    <col min="34" max="35" width="3.77734375" customWidth="1"/>
    <col min="36" max="36" width="13.21875" bestFit="1" customWidth="1"/>
    <col min="37" max="37" width="17" bestFit="1" customWidth="1"/>
    <col min="39" max="39" width="13.77734375" bestFit="1" customWidth="1"/>
  </cols>
  <sheetData>
    <row r="1" spans="1:43" x14ac:dyDescent="0.3">
      <c r="A1" s="28"/>
      <c r="B1" s="28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28"/>
      <c r="AJ1" s="28"/>
      <c r="AK1" s="28"/>
    </row>
    <row r="2" spans="1:43" x14ac:dyDescent="0.3">
      <c r="A2" s="28"/>
      <c r="B2" s="28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O2" s="47"/>
      <c r="P2" s="47"/>
      <c r="Q2" s="47"/>
      <c r="R2" s="47"/>
      <c r="S2" s="47"/>
      <c r="T2" s="47"/>
      <c r="U2" s="86" t="s">
        <v>78</v>
      </c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47"/>
      <c r="AI2" s="28"/>
    </row>
    <row r="3" spans="1:43" x14ac:dyDescent="0.3">
      <c r="A3" s="80" t="s">
        <v>79</v>
      </c>
      <c r="B3" s="81"/>
      <c r="C3" s="48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48">
        <v>17</v>
      </c>
      <c r="T3" s="48">
        <v>18</v>
      </c>
      <c r="U3" s="48">
        <v>19</v>
      </c>
      <c r="V3" s="48">
        <v>20</v>
      </c>
      <c r="W3" s="48">
        <v>21</v>
      </c>
      <c r="X3" s="48">
        <v>22</v>
      </c>
      <c r="Y3" s="48">
        <v>23</v>
      </c>
      <c r="Z3" s="48">
        <v>24</v>
      </c>
      <c r="AA3" s="48">
        <v>25</v>
      </c>
      <c r="AB3" s="48">
        <v>26</v>
      </c>
      <c r="AC3" s="48">
        <v>27</v>
      </c>
      <c r="AD3" s="48">
        <v>28</v>
      </c>
      <c r="AE3" s="48">
        <v>29</v>
      </c>
      <c r="AF3" s="48">
        <v>30</v>
      </c>
      <c r="AG3" s="48">
        <v>31</v>
      </c>
      <c r="AH3" s="63"/>
      <c r="AI3" s="28"/>
    </row>
    <row r="4" spans="1:43" ht="22.2" x14ac:dyDescent="0.3">
      <c r="A4" s="30" t="s">
        <v>1</v>
      </c>
      <c r="B4" s="31" t="s">
        <v>2</v>
      </c>
      <c r="C4" s="50" t="s">
        <v>6</v>
      </c>
      <c r="D4" s="50" t="s">
        <v>7</v>
      </c>
      <c r="E4" s="49" t="s">
        <v>8</v>
      </c>
      <c r="F4" s="49" t="s">
        <v>9</v>
      </c>
      <c r="G4" s="50" t="s">
        <v>3</v>
      </c>
      <c r="H4" s="50" t="s">
        <v>4</v>
      </c>
      <c r="I4" s="50" t="s">
        <v>5</v>
      </c>
      <c r="J4" s="50" t="s">
        <v>6</v>
      </c>
      <c r="K4" s="50" t="s">
        <v>7</v>
      </c>
      <c r="L4" s="49" t="s">
        <v>8</v>
      </c>
      <c r="M4" s="49" t="s">
        <v>9</v>
      </c>
      <c r="N4" s="50" t="s">
        <v>3</v>
      </c>
      <c r="O4" s="50" t="s">
        <v>4</v>
      </c>
      <c r="P4" s="50" t="s">
        <v>5</v>
      </c>
      <c r="Q4" s="50" t="s">
        <v>6</v>
      </c>
      <c r="R4" s="50" t="s">
        <v>7</v>
      </c>
      <c r="S4" s="49" t="s">
        <v>8</v>
      </c>
      <c r="T4" s="49" t="s">
        <v>9</v>
      </c>
      <c r="U4" s="50" t="s">
        <v>3</v>
      </c>
      <c r="V4" s="50" t="s">
        <v>4</v>
      </c>
      <c r="W4" s="50" t="s">
        <v>5</v>
      </c>
      <c r="X4" s="50" t="s">
        <v>6</v>
      </c>
      <c r="Y4" s="50" t="s">
        <v>7</v>
      </c>
      <c r="Z4" s="49" t="s">
        <v>8</v>
      </c>
      <c r="AA4" s="49" t="s">
        <v>9</v>
      </c>
      <c r="AB4" s="50" t="s">
        <v>3</v>
      </c>
      <c r="AC4" s="50" t="s">
        <v>4</v>
      </c>
      <c r="AD4" s="50" t="s">
        <v>5</v>
      </c>
      <c r="AE4" s="50" t="s">
        <v>6</v>
      </c>
      <c r="AF4" s="50" t="s">
        <v>7</v>
      </c>
      <c r="AG4" s="49" t="s">
        <v>8</v>
      </c>
      <c r="AH4" s="64"/>
      <c r="AI4" s="28"/>
    </row>
    <row r="5" spans="1:43" hidden="1" x14ac:dyDescent="0.3">
      <c r="A5" s="34" t="s">
        <v>10</v>
      </c>
      <c r="B5" s="35" t="s">
        <v>11</v>
      </c>
      <c r="C5" s="52" t="s">
        <v>12</v>
      </c>
      <c r="D5" s="52" t="s">
        <v>12</v>
      </c>
      <c r="E5" s="51" t="s">
        <v>13</v>
      </c>
      <c r="F5" s="51" t="s">
        <v>13</v>
      </c>
      <c r="G5" s="14" t="s">
        <v>12</v>
      </c>
      <c r="H5" s="52" t="s">
        <v>12</v>
      </c>
      <c r="I5" s="52" t="s">
        <v>12</v>
      </c>
      <c r="J5" s="52" t="s">
        <v>12</v>
      </c>
      <c r="K5" s="52" t="s">
        <v>12</v>
      </c>
      <c r="L5" s="51" t="s">
        <v>13</v>
      </c>
      <c r="M5" s="51" t="s">
        <v>13</v>
      </c>
      <c r="N5" s="14" t="s">
        <v>12</v>
      </c>
      <c r="O5" s="52" t="s">
        <v>12</v>
      </c>
      <c r="P5" s="52" t="s">
        <v>12</v>
      </c>
      <c r="Q5" s="52" t="s">
        <v>12</v>
      </c>
      <c r="R5" s="52" t="s">
        <v>12</v>
      </c>
      <c r="S5" s="51" t="s">
        <v>13</v>
      </c>
      <c r="T5" s="51" t="s">
        <v>13</v>
      </c>
      <c r="U5" s="14" t="s">
        <v>12</v>
      </c>
      <c r="V5" s="52" t="s">
        <v>12</v>
      </c>
      <c r="W5" s="52" t="s">
        <v>12</v>
      </c>
      <c r="X5" s="52" t="s">
        <v>12</v>
      </c>
      <c r="Y5" s="52" t="s">
        <v>12</v>
      </c>
      <c r="Z5" s="51" t="s">
        <v>13</v>
      </c>
      <c r="AA5" s="51" t="s">
        <v>13</v>
      </c>
      <c r="AB5" s="14" t="s">
        <v>12</v>
      </c>
      <c r="AC5" s="52" t="s">
        <v>12</v>
      </c>
      <c r="AD5" s="52" t="s">
        <v>12</v>
      </c>
      <c r="AE5" s="52" t="s">
        <v>12</v>
      </c>
      <c r="AF5" s="52" t="s">
        <v>12</v>
      </c>
      <c r="AG5" s="51" t="s">
        <v>13</v>
      </c>
      <c r="AH5" s="65"/>
      <c r="AI5" s="28"/>
    </row>
    <row r="6" spans="1:43" hidden="1" x14ac:dyDescent="0.3">
      <c r="A6" s="34" t="s">
        <v>17</v>
      </c>
      <c r="B6" s="35" t="s">
        <v>18</v>
      </c>
      <c r="C6" s="54" t="s">
        <v>19</v>
      </c>
      <c r="D6" s="54" t="s">
        <v>19</v>
      </c>
      <c r="E6" s="51" t="s">
        <v>13</v>
      </c>
      <c r="F6" s="51" t="s">
        <v>13</v>
      </c>
      <c r="G6" s="53" t="s">
        <v>19</v>
      </c>
      <c r="H6" s="54" t="s">
        <v>19</v>
      </c>
      <c r="I6" s="54" t="s">
        <v>19</v>
      </c>
      <c r="J6" s="54" t="s">
        <v>19</v>
      </c>
      <c r="K6" s="54" t="s">
        <v>19</v>
      </c>
      <c r="L6" s="51" t="s">
        <v>13</v>
      </c>
      <c r="M6" s="51" t="s">
        <v>13</v>
      </c>
      <c r="N6" s="53" t="s">
        <v>19</v>
      </c>
      <c r="O6" s="54" t="s">
        <v>19</v>
      </c>
      <c r="P6" s="54" t="s">
        <v>19</v>
      </c>
      <c r="Q6" s="54" t="s">
        <v>19</v>
      </c>
      <c r="R6" s="54" t="s">
        <v>19</v>
      </c>
      <c r="S6" s="51" t="s">
        <v>13</v>
      </c>
      <c r="T6" s="51" t="s">
        <v>13</v>
      </c>
      <c r="U6" s="53" t="s">
        <v>19</v>
      </c>
      <c r="V6" s="54" t="s">
        <v>19</v>
      </c>
      <c r="W6" s="54" t="s">
        <v>19</v>
      </c>
      <c r="X6" s="54" t="s">
        <v>19</v>
      </c>
      <c r="Y6" s="54" t="s">
        <v>19</v>
      </c>
      <c r="Z6" s="51" t="s">
        <v>13</v>
      </c>
      <c r="AA6" s="51" t="s">
        <v>13</v>
      </c>
      <c r="AB6" s="53" t="s">
        <v>19</v>
      </c>
      <c r="AC6" s="54" t="s">
        <v>19</v>
      </c>
      <c r="AD6" s="54" t="s">
        <v>19</v>
      </c>
      <c r="AE6" s="54" t="s">
        <v>19</v>
      </c>
      <c r="AF6" s="54" t="s">
        <v>19</v>
      </c>
      <c r="AG6" s="51" t="s">
        <v>13</v>
      </c>
      <c r="AH6" s="65"/>
      <c r="AI6" s="28"/>
    </row>
    <row r="7" spans="1:43" hidden="1" x14ac:dyDescent="0.3">
      <c r="A7" s="34" t="s">
        <v>22</v>
      </c>
      <c r="B7" s="35" t="s">
        <v>18</v>
      </c>
      <c r="C7" s="54" t="s">
        <v>19</v>
      </c>
      <c r="D7" s="54" t="s">
        <v>19</v>
      </c>
      <c r="E7" s="51" t="s">
        <v>13</v>
      </c>
      <c r="F7" s="51" t="s">
        <v>13</v>
      </c>
      <c r="G7" s="53" t="s">
        <v>19</v>
      </c>
      <c r="H7" s="54" t="s">
        <v>19</v>
      </c>
      <c r="I7" s="54" t="s">
        <v>19</v>
      </c>
      <c r="J7" s="54" t="s">
        <v>19</v>
      </c>
      <c r="K7" s="54" t="s">
        <v>19</v>
      </c>
      <c r="L7" s="51" t="s">
        <v>13</v>
      </c>
      <c r="M7" s="51" t="s">
        <v>13</v>
      </c>
      <c r="N7" s="53" t="s">
        <v>19</v>
      </c>
      <c r="O7" s="54" t="s">
        <v>19</v>
      </c>
      <c r="P7" s="54" t="s">
        <v>19</v>
      </c>
      <c r="Q7" s="54" t="s">
        <v>19</v>
      </c>
      <c r="R7" s="54" t="s">
        <v>19</v>
      </c>
      <c r="S7" s="51" t="s">
        <v>13</v>
      </c>
      <c r="T7" s="51" t="s">
        <v>13</v>
      </c>
      <c r="U7" s="53" t="s">
        <v>19</v>
      </c>
      <c r="V7" s="54" t="s">
        <v>19</v>
      </c>
      <c r="W7" s="54" t="s">
        <v>19</v>
      </c>
      <c r="X7" s="54" t="s">
        <v>19</v>
      </c>
      <c r="Y7" s="54" t="s">
        <v>19</v>
      </c>
      <c r="Z7" s="51" t="s">
        <v>13</v>
      </c>
      <c r="AA7" s="51" t="s">
        <v>13</v>
      </c>
      <c r="AB7" s="53" t="s">
        <v>19</v>
      </c>
      <c r="AC7" s="54" t="s">
        <v>19</v>
      </c>
      <c r="AD7" s="54" t="s">
        <v>19</v>
      </c>
      <c r="AE7" s="54" t="s">
        <v>19</v>
      </c>
      <c r="AF7" s="54" t="s">
        <v>19</v>
      </c>
      <c r="AG7" s="51" t="s">
        <v>13</v>
      </c>
      <c r="AH7" s="65"/>
      <c r="AI7" s="28"/>
    </row>
    <row r="8" spans="1:43" x14ac:dyDescent="0.3">
      <c r="A8" s="40" t="s">
        <v>26</v>
      </c>
      <c r="B8" s="35" t="s">
        <v>11</v>
      </c>
      <c r="C8" s="43" t="s">
        <v>36</v>
      </c>
      <c r="D8" s="55" t="s">
        <v>25</v>
      </c>
      <c r="E8" s="51" t="s">
        <v>13</v>
      </c>
      <c r="F8" s="51" t="s">
        <v>13</v>
      </c>
      <c r="G8" s="55" t="s">
        <v>25</v>
      </c>
      <c r="H8" s="55" t="s">
        <v>25</v>
      </c>
      <c r="I8" s="55" t="s">
        <v>25</v>
      </c>
      <c r="J8" s="55" t="s">
        <v>25</v>
      </c>
      <c r="K8" s="55" t="s">
        <v>25</v>
      </c>
      <c r="L8" s="51" t="s">
        <v>13</v>
      </c>
      <c r="M8" s="51" t="s">
        <v>13</v>
      </c>
      <c r="N8" s="55" t="s">
        <v>25</v>
      </c>
      <c r="O8" s="55" t="s">
        <v>25</v>
      </c>
      <c r="P8" s="55" t="s">
        <v>25</v>
      </c>
      <c r="Q8" s="55" t="s">
        <v>25</v>
      </c>
      <c r="R8" s="55" t="s">
        <v>25</v>
      </c>
      <c r="S8" s="51" t="s">
        <v>13</v>
      </c>
      <c r="T8" s="51" t="s">
        <v>13</v>
      </c>
      <c r="U8" s="67" t="s">
        <v>36</v>
      </c>
      <c r="V8" s="55" t="s">
        <v>25</v>
      </c>
      <c r="W8" s="55" t="s">
        <v>25</v>
      </c>
      <c r="X8" s="55" t="s">
        <v>25</v>
      </c>
      <c r="Y8" s="55" t="s">
        <v>25</v>
      </c>
      <c r="Z8" s="51" t="s">
        <v>13</v>
      </c>
      <c r="AA8" s="51" t="s">
        <v>13</v>
      </c>
      <c r="AB8" s="55" t="s">
        <v>25</v>
      </c>
      <c r="AC8" s="55" t="s">
        <v>25</v>
      </c>
      <c r="AD8" s="55" t="s">
        <v>25</v>
      </c>
      <c r="AE8" s="55" t="s">
        <v>25</v>
      </c>
      <c r="AF8" s="55" t="s">
        <v>25</v>
      </c>
      <c r="AG8" s="51" t="s">
        <v>13</v>
      </c>
      <c r="AH8" s="65"/>
      <c r="AI8" s="28"/>
    </row>
    <row r="9" spans="1:43" x14ac:dyDescent="0.3">
      <c r="A9" s="40" t="s">
        <v>35</v>
      </c>
      <c r="B9" s="35" t="s">
        <v>18</v>
      </c>
      <c r="C9" s="67" t="s">
        <v>36</v>
      </c>
      <c r="D9" s="45" t="s">
        <v>59</v>
      </c>
      <c r="E9" s="11" t="s">
        <v>13</v>
      </c>
      <c r="F9" s="11" t="s">
        <v>13</v>
      </c>
      <c r="G9" s="53" t="s">
        <v>42</v>
      </c>
      <c r="H9" s="53" t="s">
        <v>42</v>
      </c>
      <c r="I9" s="53" t="s">
        <v>42</v>
      </c>
      <c r="J9" s="53" t="s">
        <v>42</v>
      </c>
      <c r="K9" s="53" t="s">
        <v>42</v>
      </c>
      <c r="L9" s="11" t="s">
        <v>13</v>
      </c>
      <c r="M9" s="11" t="s">
        <v>13</v>
      </c>
      <c r="N9" s="53" t="s">
        <v>42</v>
      </c>
      <c r="O9" s="53" t="s">
        <v>42</v>
      </c>
      <c r="P9" s="53" t="s">
        <v>42</v>
      </c>
      <c r="Q9" s="53" t="s">
        <v>42</v>
      </c>
      <c r="R9" s="53" t="s">
        <v>42</v>
      </c>
      <c r="S9" s="11" t="s">
        <v>13</v>
      </c>
      <c r="T9" s="11" t="s">
        <v>13</v>
      </c>
      <c r="U9" s="45" t="s">
        <v>80</v>
      </c>
      <c r="V9" s="53" t="s">
        <v>19</v>
      </c>
      <c r="W9" s="53" t="s">
        <v>19</v>
      </c>
      <c r="X9" s="53" t="s">
        <v>19</v>
      </c>
      <c r="Y9" s="53" t="s">
        <v>19</v>
      </c>
      <c r="Z9" s="11" t="s">
        <v>13</v>
      </c>
      <c r="AA9" s="11" t="s">
        <v>13</v>
      </c>
      <c r="AB9" s="53" t="s">
        <v>19</v>
      </c>
      <c r="AC9" s="71" t="s">
        <v>87</v>
      </c>
      <c r="AD9" s="71" t="s">
        <v>87</v>
      </c>
      <c r="AE9" s="71" t="s">
        <v>87</v>
      </c>
      <c r="AF9" s="53" t="s">
        <v>19</v>
      </c>
      <c r="AG9" s="51" t="s">
        <v>13</v>
      </c>
      <c r="AH9" s="65"/>
      <c r="AI9" s="28"/>
      <c r="AJ9" s="28"/>
      <c r="AK9" s="28"/>
      <c r="AN9" s="28"/>
      <c r="AO9" s="28" t="s">
        <v>65</v>
      </c>
      <c r="AP9" s="47" t="s">
        <v>66</v>
      </c>
      <c r="AQ9" s="47" t="s">
        <v>67</v>
      </c>
    </row>
    <row r="10" spans="1:43" x14ac:dyDescent="0.3">
      <c r="A10" s="40" t="s">
        <v>39</v>
      </c>
      <c r="B10" s="35" t="s">
        <v>18</v>
      </c>
      <c r="C10" s="9" t="s">
        <v>34</v>
      </c>
      <c r="D10" s="9" t="s">
        <v>34</v>
      </c>
      <c r="E10" s="11" t="s">
        <v>13</v>
      </c>
      <c r="F10" s="11" t="s">
        <v>13</v>
      </c>
      <c r="G10" s="11" t="s">
        <v>13</v>
      </c>
      <c r="H10" s="53" t="s">
        <v>34</v>
      </c>
      <c r="I10" s="53" t="s">
        <v>34</v>
      </c>
      <c r="J10" s="53" t="s">
        <v>34</v>
      </c>
      <c r="K10" s="53" t="s">
        <v>34</v>
      </c>
      <c r="L10" s="21" t="s">
        <v>34</v>
      </c>
      <c r="M10" s="11" t="s">
        <v>13</v>
      </c>
      <c r="N10" s="53" t="s">
        <v>34</v>
      </c>
      <c r="O10" s="53" t="s">
        <v>34</v>
      </c>
      <c r="P10" s="45" t="s">
        <v>59</v>
      </c>
      <c r="Q10" s="53" t="s">
        <v>34</v>
      </c>
      <c r="R10" s="53" t="s">
        <v>34</v>
      </c>
      <c r="S10" s="11" t="s">
        <v>13</v>
      </c>
      <c r="T10" s="11" t="s">
        <v>13</v>
      </c>
      <c r="U10" s="53" t="s">
        <v>34</v>
      </c>
      <c r="V10" s="53" t="s">
        <v>34</v>
      </c>
      <c r="W10" s="53" t="s">
        <v>34</v>
      </c>
      <c r="X10" s="53" t="s">
        <v>34</v>
      </c>
      <c r="Y10" s="53" t="s">
        <v>34</v>
      </c>
      <c r="Z10" s="11" t="s">
        <v>13</v>
      </c>
      <c r="AA10" s="11" t="s">
        <v>13</v>
      </c>
      <c r="AB10" s="11" t="s">
        <v>13</v>
      </c>
      <c r="AC10" s="53" t="s">
        <v>34</v>
      </c>
      <c r="AD10" s="53" t="s">
        <v>34</v>
      </c>
      <c r="AE10" s="53" t="s">
        <v>34</v>
      </c>
      <c r="AF10" s="53" t="s">
        <v>34</v>
      </c>
      <c r="AG10" s="21" t="s">
        <v>34</v>
      </c>
      <c r="AH10" s="65"/>
      <c r="AI10" s="28"/>
      <c r="AJ10" s="12" t="s">
        <v>14</v>
      </c>
      <c r="AK10" s="12" t="s">
        <v>15</v>
      </c>
      <c r="AM10" t="s">
        <v>81</v>
      </c>
      <c r="AN10" t="s">
        <v>69</v>
      </c>
      <c r="AO10" s="69" t="s">
        <v>19</v>
      </c>
      <c r="AP10" s="69" t="s">
        <v>42</v>
      </c>
      <c r="AQ10" t="s">
        <v>82</v>
      </c>
    </row>
    <row r="11" spans="1:43" x14ac:dyDescent="0.3">
      <c r="A11" s="40" t="s">
        <v>43</v>
      </c>
      <c r="B11" s="35" t="s">
        <v>18</v>
      </c>
      <c r="C11" s="67" t="s">
        <v>36</v>
      </c>
      <c r="D11" s="9" t="s">
        <v>34</v>
      </c>
      <c r="E11" s="11" t="s">
        <v>13</v>
      </c>
      <c r="F11" s="11" t="s">
        <v>13</v>
      </c>
      <c r="G11" s="54" t="s">
        <v>34</v>
      </c>
      <c r="H11" s="54" t="s">
        <v>34</v>
      </c>
      <c r="I11" s="54" t="s">
        <v>34</v>
      </c>
      <c r="J11" s="54" t="s">
        <v>34</v>
      </c>
      <c r="K11" s="54" t="s">
        <v>34</v>
      </c>
      <c r="L11" s="11" t="s">
        <v>13</v>
      </c>
      <c r="M11" s="11" t="s">
        <v>13</v>
      </c>
      <c r="N11" s="11" t="s">
        <v>13</v>
      </c>
      <c r="O11" s="53" t="s">
        <v>19</v>
      </c>
      <c r="P11" s="53" t="s">
        <v>19</v>
      </c>
      <c r="Q11" s="53" t="s">
        <v>19</v>
      </c>
      <c r="R11" s="53" t="s">
        <v>19</v>
      </c>
      <c r="S11" s="21" t="s">
        <v>19</v>
      </c>
      <c r="T11" s="11" t="s">
        <v>13</v>
      </c>
      <c r="U11" s="11" t="s">
        <v>13</v>
      </c>
      <c r="V11" s="53" t="s">
        <v>34</v>
      </c>
      <c r="W11" s="53" t="s">
        <v>34</v>
      </c>
      <c r="X11" s="53" t="s">
        <v>34</v>
      </c>
      <c r="Y11" s="53" t="s">
        <v>34</v>
      </c>
      <c r="Z11" s="21" t="s">
        <v>34</v>
      </c>
      <c r="AA11" s="11" t="s">
        <v>13</v>
      </c>
      <c r="AB11" s="53" t="s">
        <v>34</v>
      </c>
      <c r="AC11" s="53" t="s">
        <v>34</v>
      </c>
      <c r="AD11" s="53" t="s">
        <v>34</v>
      </c>
      <c r="AE11" s="53" t="s">
        <v>34</v>
      </c>
      <c r="AF11" s="53" t="s">
        <v>34</v>
      </c>
      <c r="AG11" s="51" t="s">
        <v>13</v>
      </c>
      <c r="AH11" s="65"/>
      <c r="AI11" s="28"/>
      <c r="AJ11" s="9" t="s">
        <v>20</v>
      </c>
      <c r="AK11" s="14" t="s">
        <v>21</v>
      </c>
      <c r="AM11" t="s">
        <v>83</v>
      </c>
      <c r="AN11" t="s">
        <v>69</v>
      </c>
      <c r="AO11" s="47" t="s">
        <v>34</v>
      </c>
      <c r="AP11" s="47" t="s">
        <v>42</v>
      </c>
      <c r="AQ11" s="28" t="s">
        <v>70</v>
      </c>
    </row>
    <row r="12" spans="1:43" x14ac:dyDescent="0.3">
      <c r="A12" s="40" t="s">
        <v>44</v>
      </c>
      <c r="B12" s="35" t="s">
        <v>18</v>
      </c>
      <c r="C12" s="9" t="s">
        <v>42</v>
      </c>
      <c r="D12" s="9" t="s">
        <v>42</v>
      </c>
      <c r="E12" s="21" t="s">
        <v>42</v>
      </c>
      <c r="F12" s="11" t="s">
        <v>13</v>
      </c>
      <c r="G12" s="53" t="s">
        <v>19</v>
      </c>
      <c r="H12" s="53" t="s">
        <v>19</v>
      </c>
      <c r="I12" s="53" t="s">
        <v>19</v>
      </c>
      <c r="J12" s="53" t="s">
        <v>19</v>
      </c>
      <c r="K12" s="53" t="s">
        <v>19</v>
      </c>
      <c r="L12" s="11" t="s">
        <v>13</v>
      </c>
      <c r="M12" s="11" t="s">
        <v>13</v>
      </c>
      <c r="N12" s="53" t="s">
        <v>42</v>
      </c>
      <c r="O12" s="53" t="s">
        <v>42</v>
      </c>
      <c r="P12" s="53" t="s">
        <v>42</v>
      </c>
      <c r="Q12" s="53" t="s">
        <v>42</v>
      </c>
      <c r="R12" s="11" t="s">
        <v>13</v>
      </c>
      <c r="S12" s="11" t="s">
        <v>13</v>
      </c>
      <c r="T12" s="11" t="s">
        <v>13</v>
      </c>
      <c r="U12" s="53" t="s">
        <v>42</v>
      </c>
      <c r="V12" s="53" t="s">
        <v>42</v>
      </c>
      <c r="W12" s="53" t="s">
        <v>42</v>
      </c>
      <c r="X12" s="53" t="s">
        <v>42</v>
      </c>
      <c r="Y12" s="11" t="s">
        <v>13</v>
      </c>
      <c r="Z12" s="21" t="s">
        <v>42</v>
      </c>
      <c r="AA12" s="11" t="s">
        <v>13</v>
      </c>
      <c r="AB12" s="53" t="s">
        <v>42</v>
      </c>
      <c r="AC12" s="53" t="s">
        <v>42</v>
      </c>
      <c r="AD12" s="53" t="s">
        <v>42</v>
      </c>
      <c r="AE12" s="53" t="s">
        <v>42</v>
      </c>
      <c r="AF12" s="53" t="s">
        <v>42</v>
      </c>
      <c r="AG12" s="51" t="s">
        <v>13</v>
      </c>
      <c r="AH12" s="65"/>
      <c r="AI12" s="28"/>
      <c r="AJ12" s="9" t="s">
        <v>23</v>
      </c>
      <c r="AK12" s="14" t="s">
        <v>63</v>
      </c>
      <c r="AM12" t="s">
        <v>84</v>
      </c>
      <c r="AN12" t="s">
        <v>72</v>
      </c>
      <c r="AO12" s="69" t="s">
        <v>42</v>
      </c>
      <c r="AP12" s="69" t="s">
        <v>19</v>
      </c>
      <c r="AQ12" t="s">
        <v>85</v>
      </c>
    </row>
    <row r="13" spans="1:43" x14ac:dyDescent="0.3">
      <c r="A13" s="40" t="s">
        <v>45</v>
      </c>
      <c r="B13" s="35" t="s">
        <v>18</v>
      </c>
      <c r="C13" s="9" t="s">
        <v>34</v>
      </c>
      <c r="D13" s="11" t="s">
        <v>13</v>
      </c>
      <c r="E13" s="21" t="s">
        <v>34</v>
      </c>
      <c r="F13" s="11" t="s">
        <v>13</v>
      </c>
      <c r="G13" s="53" t="s">
        <v>34</v>
      </c>
      <c r="H13" s="53" t="s">
        <v>34</v>
      </c>
      <c r="I13" s="53" t="s">
        <v>34</v>
      </c>
      <c r="J13" s="53" t="s">
        <v>34</v>
      </c>
      <c r="K13" s="53" t="s">
        <v>34</v>
      </c>
      <c r="L13" s="11" t="s">
        <v>13</v>
      </c>
      <c r="M13" s="11" t="s">
        <v>13</v>
      </c>
      <c r="N13" s="53" t="s">
        <v>34</v>
      </c>
      <c r="O13" s="53" t="s">
        <v>34</v>
      </c>
      <c r="P13" s="53" t="s">
        <v>34</v>
      </c>
      <c r="Q13" s="67" t="s">
        <v>36</v>
      </c>
      <c r="R13" s="67" t="s">
        <v>36</v>
      </c>
      <c r="S13" s="11" t="s">
        <v>13</v>
      </c>
      <c r="T13" s="11" t="s">
        <v>13</v>
      </c>
      <c r="U13" s="53" t="s">
        <v>19</v>
      </c>
      <c r="V13" s="53" t="s">
        <v>19</v>
      </c>
      <c r="W13" s="53" t="s">
        <v>19</v>
      </c>
      <c r="X13" s="53" t="s">
        <v>19</v>
      </c>
      <c r="Y13" s="67" t="s">
        <v>36</v>
      </c>
      <c r="Z13" s="11" t="s">
        <v>13</v>
      </c>
      <c r="AA13" s="11" t="s">
        <v>13</v>
      </c>
      <c r="AB13" s="53" t="s">
        <v>19</v>
      </c>
      <c r="AC13" s="53" t="s">
        <v>19</v>
      </c>
      <c r="AD13" s="53" t="s">
        <v>19</v>
      </c>
      <c r="AE13" s="53" t="s">
        <v>19</v>
      </c>
      <c r="AF13" s="11" t="s">
        <v>13</v>
      </c>
      <c r="AG13" s="21" t="s">
        <v>19</v>
      </c>
      <c r="AH13" s="65"/>
      <c r="AI13" s="28"/>
      <c r="AJ13" s="9" t="s">
        <v>28</v>
      </c>
      <c r="AK13" s="14" t="s">
        <v>29</v>
      </c>
      <c r="AM13" t="s">
        <v>83</v>
      </c>
      <c r="AN13" t="s">
        <v>86</v>
      </c>
      <c r="AO13" s="69" t="s">
        <v>42</v>
      </c>
      <c r="AP13" s="69" t="s">
        <v>34</v>
      </c>
      <c r="AQ13" t="s">
        <v>85</v>
      </c>
    </row>
    <row r="14" spans="1:43" x14ac:dyDescent="0.3">
      <c r="A14" s="40" t="s">
        <v>49</v>
      </c>
      <c r="B14" s="35" t="s">
        <v>18</v>
      </c>
      <c r="C14" s="67" t="s">
        <v>36</v>
      </c>
      <c r="D14" s="45" t="s">
        <v>59</v>
      </c>
      <c r="E14" s="11" t="s">
        <v>13</v>
      </c>
      <c r="F14" s="11" t="s">
        <v>13</v>
      </c>
      <c r="G14" s="11" t="s">
        <v>13</v>
      </c>
      <c r="H14" s="53" t="s">
        <v>42</v>
      </c>
      <c r="I14" s="53" t="s">
        <v>42</v>
      </c>
      <c r="J14" s="53" t="s">
        <v>42</v>
      </c>
      <c r="K14" s="53" t="s">
        <v>42</v>
      </c>
      <c r="L14" s="21" t="s">
        <v>42</v>
      </c>
      <c r="M14" s="11" t="s">
        <v>13</v>
      </c>
      <c r="N14" s="53" t="s">
        <v>19</v>
      </c>
      <c r="O14" s="53" t="s">
        <v>19</v>
      </c>
      <c r="P14" s="53" t="s">
        <v>19</v>
      </c>
      <c r="Q14" s="53" t="s">
        <v>19</v>
      </c>
      <c r="R14" s="53" t="s">
        <v>19</v>
      </c>
      <c r="S14" s="11" t="s">
        <v>13</v>
      </c>
      <c r="T14" s="11" t="s">
        <v>13</v>
      </c>
      <c r="U14" s="53" t="s">
        <v>19</v>
      </c>
      <c r="V14" s="53" t="s">
        <v>19</v>
      </c>
      <c r="W14" s="53" t="s">
        <v>19</v>
      </c>
      <c r="X14" s="11" t="s">
        <v>13</v>
      </c>
      <c r="Y14" s="53" t="s">
        <v>19</v>
      </c>
      <c r="Z14" s="21" t="s">
        <v>19</v>
      </c>
      <c r="AA14" s="11" t="s">
        <v>13</v>
      </c>
      <c r="AB14" s="53" t="s">
        <v>19</v>
      </c>
      <c r="AC14" s="53" t="s">
        <v>19</v>
      </c>
      <c r="AD14" s="53" t="s">
        <v>19</v>
      </c>
      <c r="AE14" s="53" t="s">
        <v>19</v>
      </c>
      <c r="AF14" s="53" t="s">
        <v>19</v>
      </c>
      <c r="AG14" s="51" t="s">
        <v>13</v>
      </c>
      <c r="AH14" s="65"/>
      <c r="AI14" s="28"/>
      <c r="AJ14" s="9" t="s">
        <v>32</v>
      </c>
      <c r="AK14" s="9" t="s">
        <v>33</v>
      </c>
    </row>
    <row r="15" spans="1:43" x14ac:dyDescent="0.3">
      <c r="A15" s="40" t="s">
        <v>52</v>
      </c>
      <c r="B15" s="35" t="s">
        <v>18</v>
      </c>
      <c r="C15" s="9" t="s">
        <v>19</v>
      </c>
      <c r="D15" s="9" t="s">
        <v>19</v>
      </c>
      <c r="E15" s="21" t="s">
        <v>19</v>
      </c>
      <c r="F15" s="11" t="s">
        <v>13</v>
      </c>
      <c r="G15" s="53" t="s">
        <v>19</v>
      </c>
      <c r="H15" s="53" t="s">
        <v>19</v>
      </c>
      <c r="I15" s="53" t="s">
        <v>19</v>
      </c>
      <c r="J15" s="53" t="s">
        <v>19</v>
      </c>
      <c r="K15" s="11" t="s">
        <v>13</v>
      </c>
      <c r="L15" s="11" t="s">
        <v>13</v>
      </c>
      <c r="M15" s="11" t="s">
        <v>13</v>
      </c>
      <c r="N15" s="11" t="s">
        <v>13</v>
      </c>
      <c r="O15" s="53" t="s">
        <v>34</v>
      </c>
      <c r="P15" s="53" t="s">
        <v>34</v>
      </c>
      <c r="Q15" s="53" t="s">
        <v>34</v>
      </c>
      <c r="R15" s="53" t="s">
        <v>34</v>
      </c>
      <c r="S15" s="21" t="s">
        <v>34</v>
      </c>
      <c r="T15" s="11" t="s">
        <v>13</v>
      </c>
      <c r="U15" s="53" t="s">
        <v>34</v>
      </c>
      <c r="V15" s="53" t="s">
        <v>34</v>
      </c>
      <c r="W15" s="45" t="s">
        <v>59</v>
      </c>
      <c r="X15" s="53" t="s">
        <v>34</v>
      </c>
      <c r="Y15" s="45" t="s">
        <v>59</v>
      </c>
      <c r="Z15" s="11" t="s">
        <v>13</v>
      </c>
      <c r="AA15" s="11" t="s">
        <v>13</v>
      </c>
      <c r="AB15" s="53" t="s">
        <v>34</v>
      </c>
      <c r="AC15" s="53" t="s">
        <v>34</v>
      </c>
      <c r="AD15" s="53" t="s">
        <v>34</v>
      </c>
      <c r="AE15" s="53" t="s">
        <v>34</v>
      </c>
      <c r="AF15" s="53" t="s">
        <v>34</v>
      </c>
      <c r="AG15" s="51" t="s">
        <v>13</v>
      </c>
      <c r="AH15" s="65"/>
      <c r="AI15" s="28"/>
      <c r="AJ15" s="9" t="s">
        <v>37</v>
      </c>
      <c r="AK15" s="9" t="s">
        <v>38</v>
      </c>
    </row>
    <row r="16" spans="1:43" x14ac:dyDescent="0.3">
      <c r="A16" s="40" t="s">
        <v>54</v>
      </c>
      <c r="B16" s="35" t="s">
        <v>18</v>
      </c>
      <c r="C16" s="9" t="s">
        <v>42</v>
      </c>
      <c r="D16" s="9" t="s">
        <v>42</v>
      </c>
      <c r="E16" s="11" t="s">
        <v>13</v>
      </c>
      <c r="F16" s="11" t="s">
        <v>13</v>
      </c>
      <c r="G16" s="53" t="s">
        <v>42</v>
      </c>
      <c r="H16" s="45" t="s">
        <v>80</v>
      </c>
      <c r="I16" s="45" t="s">
        <v>80</v>
      </c>
      <c r="J16" s="45" t="s">
        <v>80</v>
      </c>
      <c r="K16" s="45" t="s">
        <v>80</v>
      </c>
      <c r="L16" s="11" t="s">
        <v>13</v>
      </c>
      <c r="M16" s="11" t="s">
        <v>13</v>
      </c>
      <c r="N16" s="11" t="s">
        <v>13</v>
      </c>
      <c r="O16" s="53" t="s">
        <v>42</v>
      </c>
      <c r="P16" s="53" t="s">
        <v>42</v>
      </c>
      <c r="Q16" s="53" t="s">
        <v>42</v>
      </c>
      <c r="R16" s="53" t="s">
        <v>42</v>
      </c>
      <c r="S16" s="21" t="s">
        <v>42</v>
      </c>
      <c r="T16" s="11" t="s">
        <v>13</v>
      </c>
      <c r="U16" s="53" t="s">
        <v>42</v>
      </c>
      <c r="V16" s="53" t="s">
        <v>42</v>
      </c>
      <c r="W16" s="53" t="s">
        <v>42</v>
      </c>
      <c r="X16" s="53" t="s">
        <v>42</v>
      </c>
      <c r="Y16" s="53" t="s">
        <v>42</v>
      </c>
      <c r="Z16" s="11" t="s">
        <v>13</v>
      </c>
      <c r="AA16" s="11" t="s">
        <v>13</v>
      </c>
      <c r="AB16" s="11" t="s">
        <v>13</v>
      </c>
      <c r="AC16" s="53" t="s">
        <v>42</v>
      </c>
      <c r="AD16" s="53" t="s">
        <v>42</v>
      </c>
      <c r="AE16" s="53" t="s">
        <v>42</v>
      </c>
      <c r="AF16" s="53" t="s">
        <v>42</v>
      </c>
      <c r="AG16" s="21" t="s">
        <v>42</v>
      </c>
      <c r="AH16" s="65"/>
      <c r="AI16" s="28"/>
      <c r="AJ16" s="9" t="s">
        <v>40</v>
      </c>
      <c r="AK16" s="9" t="s">
        <v>41</v>
      </c>
    </row>
    <row r="17" spans="1:37" x14ac:dyDescent="0.3">
      <c r="A17" s="40" t="s">
        <v>74</v>
      </c>
      <c r="B17" s="35" t="s">
        <v>18</v>
      </c>
      <c r="C17" s="9" t="s">
        <v>42</v>
      </c>
      <c r="D17" s="9" t="s">
        <v>42</v>
      </c>
      <c r="E17" s="11" t="s">
        <v>13</v>
      </c>
      <c r="F17" s="11" t="s">
        <v>13</v>
      </c>
      <c r="G17" s="71" t="s">
        <v>87</v>
      </c>
      <c r="H17" s="53" t="s">
        <v>19</v>
      </c>
      <c r="I17" s="53" t="s">
        <v>19</v>
      </c>
      <c r="J17" s="53" t="s">
        <v>19</v>
      </c>
      <c r="K17" s="53" t="s">
        <v>19</v>
      </c>
      <c r="L17" s="11" t="s">
        <v>13</v>
      </c>
      <c r="M17" s="11" t="s">
        <v>13</v>
      </c>
      <c r="N17" s="53" t="s">
        <v>19</v>
      </c>
      <c r="O17" s="53" t="s">
        <v>19</v>
      </c>
      <c r="P17" s="53" t="s">
        <v>19</v>
      </c>
      <c r="Q17" s="53" t="s">
        <v>19</v>
      </c>
      <c r="R17" s="53" t="s">
        <v>19</v>
      </c>
      <c r="S17" s="11" t="s">
        <v>13</v>
      </c>
      <c r="T17" s="11" t="s">
        <v>13</v>
      </c>
      <c r="U17" s="53" t="s">
        <v>42</v>
      </c>
      <c r="V17" s="45" t="s">
        <v>59</v>
      </c>
      <c r="W17" s="53" t="s">
        <v>42</v>
      </c>
      <c r="X17" s="53" t="s">
        <v>42</v>
      </c>
      <c r="Y17" s="53" t="s">
        <v>42</v>
      </c>
      <c r="Z17" s="11" t="s">
        <v>13</v>
      </c>
      <c r="AA17" s="11" t="s">
        <v>13</v>
      </c>
      <c r="AB17" s="53" t="s">
        <v>42</v>
      </c>
      <c r="AC17" s="53" t="s">
        <v>42</v>
      </c>
      <c r="AD17" s="53" t="s">
        <v>42</v>
      </c>
      <c r="AE17" s="53" t="s">
        <v>42</v>
      </c>
      <c r="AF17" s="53" t="s">
        <v>42</v>
      </c>
      <c r="AG17" s="51" t="s">
        <v>13</v>
      </c>
      <c r="AH17" s="65"/>
      <c r="AI17" s="28"/>
      <c r="AJ17" s="28"/>
      <c r="AK17" s="28"/>
    </row>
    <row r="18" spans="1:37" x14ac:dyDescent="0.3">
      <c r="A18" s="40" t="s">
        <v>75</v>
      </c>
      <c r="B18" s="35" t="s">
        <v>18</v>
      </c>
      <c r="C18" s="44" t="s">
        <v>58</v>
      </c>
      <c r="D18" s="9" t="s">
        <v>19</v>
      </c>
      <c r="E18" s="11" t="s">
        <v>13</v>
      </c>
      <c r="F18" s="11" t="s">
        <v>13</v>
      </c>
      <c r="G18" s="11" t="s">
        <v>13</v>
      </c>
      <c r="H18" s="53" t="s">
        <v>19</v>
      </c>
      <c r="I18" s="53" t="s">
        <v>19</v>
      </c>
      <c r="J18" s="53" t="s">
        <v>19</v>
      </c>
      <c r="K18" s="53" t="s">
        <v>19</v>
      </c>
      <c r="L18" s="21" t="s">
        <v>19</v>
      </c>
      <c r="M18" s="11" t="s">
        <v>13</v>
      </c>
      <c r="N18" s="53" t="s">
        <v>19</v>
      </c>
      <c r="O18" s="53" t="s">
        <v>19</v>
      </c>
      <c r="P18" s="53" t="s">
        <v>19</v>
      </c>
      <c r="Q18" s="53" t="s">
        <v>19</v>
      </c>
      <c r="R18" s="53" t="s">
        <v>19</v>
      </c>
      <c r="S18" s="11" t="s">
        <v>13</v>
      </c>
      <c r="T18" s="11" t="s">
        <v>13</v>
      </c>
      <c r="U18" s="53" t="s">
        <v>19</v>
      </c>
      <c r="V18" s="53" t="s">
        <v>19</v>
      </c>
      <c r="W18" s="53" t="s">
        <v>19</v>
      </c>
      <c r="X18" s="53" t="s">
        <v>19</v>
      </c>
      <c r="Y18" s="53" t="s">
        <v>19</v>
      </c>
      <c r="Z18" s="11" t="s">
        <v>13</v>
      </c>
      <c r="AA18" s="11" t="s">
        <v>13</v>
      </c>
      <c r="AB18" s="53" t="s">
        <v>19</v>
      </c>
      <c r="AC18" s="45" t="s">
        <v>59</v>
      </c>
      <c r="AD18" s="53" t="s">
        <v>19</v>
      </c>
      <c r="AE18" s="53" t="s">
        <v>19</v>
      </c>
      <c r="AF18" s="53" t="s">
        <v>19</v>
      </c>
      <c r="AG18" s="51" t="s">
        <v>13</v>
      </c>
      <c r="AH18" s="65"/>
      <c r="AI18" s="28"/>
      <c r="AJ18" s="28"/>
      <c r="AK18" s="28"/>
    </row>
    <row r="19" spans="1:37" x14ac:dyDescent="0.3">
      <c r="A19" s="40" t="s">
        <v>76</v>
      </c>
      <c r="B19" s="61" t="s">
        <v>18</v>
      </c>
      <c r="C19" s="9" t="s">
        <v>19</v>
      </c>
      <c r="D19" s="9" t="s">
        <v>19</v>
      </c>
      <c r="E19" s="11" t="s">
        <v>13</v>
      </c>
      <c r="F19" s="11" t="s">
        <v>13</v>
      </c>
      <c r="G19" s="53" t="s">
        <v>19</v>
      </c>
      <c r="H19" s="53" t="s">
        <v>19</v>
      </c>
      <c r="I19" s="53" t="s">
        <v>19</v>
      </c>
      <c r="J19" s="53" t="s">
        <v>19</v>
      </c>
      <c r="K19" s="53" t="s">
        <v>19</v>
      </c>
      <c r="L19" s="11" t="s">
        <v>13</v>
      </c>
      <c r="M19" s="11" t="s">
        <v>13</v>
      </c>
      <c r="N19" s="67" t="s">
        <v>36</v>
      </c>
      <c r="O19" s="67" t="s">
        <v>36</v>
      </c>
      <c r="P19" s="45" t="s">
        <v>59</v>
      </c>
      <c r="Q19" s="67" t="s">
        <v>36</v>
      </c>
      <c r="R19" s="53" t="s">
        <v>19</v>
      </c>
      <c r="S19" s="11" t="s">
        <v>13</v>
      </c>
      <c r="T19" s="11" t="s">
        <v>13</v>
      </c>
      <c r="U19" s="53" t="s">
        <v>19</v>
      </c>
      <c r="V19" s="53" t="s">
        <v>19</v>
      </c>
      <c r="W19" s="53" t="s">
        <v>19</v>
      </c>
      <c r="X19" s="53" t="s">
        <v>19</v>
      </c>
      <c r="Y19" s="53" t="s">
        <v>19</v>
      </c>
      <c r="Z19" s="11" t="s">
        <v>13</v>
      </c>
      <c r="AA19" s="11" t="s">
        <v>13</v>
      </c>
      <c r="AB19" s="53" t="s">
        <v>19</v>
      </c>
      <c r="AC19" s="53" t="s">
        <v>19</v>
      </c>
      <c r="AD19" s="53" t="s">
        <v>19</v>
      </c>
      <c r="AE19" s="53" t="s">
        <v>19</v>
      </c>
      <c r="AF19" s="53" t="s">
        <v>19</v>
      </c>
      <c r="AG19" s="51" t="s">
        <v>13</v>
      </c>
      <c r="AH19" s="47"/>
      <c r="AI19" s="28"/>
      <c r="AJ19" s="77" t="s">
        <v>16</v>
      </c>
      <c r="AK19" s="78"/>
    </row>
    <row r="20" spans="1:37" x14ac:dyDescent="0.3">
      <c r="AJ20" s="9" t="s">
        <v>88</v>
      </c>
      <c r="AK20" s="21" t="s">
        <v>89</v>
      </c>
    </row>
    <row r="21" spans="1:37" x14ac:dyDescent="0.3">
      <c r="A21" s="66" t="s">
        <v>34</v>
      </c>
      <c r="C21">
        <f>COUNTIFS(C$8:C$20,"M")</f>
        <v>2</v>
      </c>
      <c r="D21">
        <f t="shared" ref="D21:AG21" si="0">COUNTIFS(D$8:D$20,"M")</f>
        <v>2</v>
      </c>
      <c r="E21" s="68">
        <f t="shared" si="0"/>
        <v>1</v>
      </c>
      <c r="F21" s="68">
        <f t="shared" si="0"/>
        <v>0</v>
      </c>
      <c r="G21">
        <f t="shared" si="0"/>
        <v>2</v>
      </c>
      <c r="H21">
        <f t="shared" si="0"/>
        <v>3</v>
      </c>
      <c r="I21">
        <f t="shared" si="0"/>
        <v>3</v>
      </c>
      <c r="J21">
        <f t="shared" si="0"/>
        <v>3</v>
      </c>
      <c r="K21">
        <f t="shared" si="0"/>
        <v>3</v>
      </c>
      <c r="L21" s="68">
        <f t="shared" si="0"/>
        <v>1</v>
      </c>
      <c r="M21" s="68">
        <f t="shared" si="0"/>
        <v>0</v>
      </c>
      <c r="N21">
        <f t="shared" si="0"/>
        <v>2</v>
      </c>
      <c r="O21">
        <f t="shared" si="0"/>
        <v>3</v>
      </c>
      <c r="P21">
        <f t="shared" si="0"/>
        <v>2</v>
      </c>
      <c r="Q21">
        <f t="shared" si="0"/>
        <v>2</v>
      </c>
      <c r="R21">
        <f t="shared" si="0"/>
        <v>2</v>
      </c>
      <c r="S21" s="68">
        <f t="shared" si="0"/>
        <v>1</v>
      </c>
      <c r="T21" s="68">
        <f t="shared" si="0"/>
        <v>0</v>
      </c>
      <c r="U21">
        <f t="shared" si="0"/>
        <v>2</v>
      </c>
      <c r="V21">
        <f t="shared" si="0"/>
        <v>3</v>
      </c>
      <c r="W21">
        <f t="shared" si="0"/>
        <v>2</v>
      </c>
      <c r="X21">
        <f t="shared" si="0"/>
        <v>3</v>
      </c>
      <c r="Y21">
        <f t="shared" si="0"/>
        <v>2</v>
      </c>
      <c r="Z21" s="68">
        <f t="shared" si="0"/>
        <v>1</v>
      </c>
      <c r="AA21" s="68">
        <f t="shared" si="0"/>
        <v>0</v>
      </c>
      <c r="AB21">
        <f t="shared" si="0"/>
        <v>2</v>
      </c>
      <c r="AC21">
        <f t="shared" si="0"/>
        <v>3</v>
      </c>
      <c r="AD21">
        <f t="shared" si="0"/>
        <v>3</v>
      </c>
      <c r="AE21">
        <f t="shared" si="0"/>
        <v>3</v>
      </c>
      <c r="AF21">
        <f t="shared" si="0"/>
        <v>3</v>
      </c>
      <c r="AG21" s="68">
        <f t="shared" si="0"/>
        <v>1</v>
      </c>
      <c r="AH21" s="47"/>
      <c r="AI21" s="28"/>
      <c r="AJ21" s="9" t="s">
        <v>53</v>
      </c>
      <c r="AK21" s="22" t="s">
        <v>13</v>
      </c>
    </row>
    <row r="22" spans="1:37" x14ac:dyDescent="0.3">
      <c r="A22" s="66" t="s">
        <v>19</v>
      </c>
      <c r="C22">
        <f>COUNTIFS(C$8:C$20,"N")</f>
        <v>2</v>
      </c>
      <c r="D22">
        <f t="shared" ref="D22:AG22" si="1">COUNTIFS(D$8:D$20,"N")</f>
        <v>3</v>
      </c>
      <c r="E22" s="68">
        <f t="shared" si="1"/>
        <v>1</v>
      </c>
      <c r="F22" s="68">
        <f t="shared" si="1"/>
        <v>0</v>
      </c>
      <c r="G22">
        <f t="shared" si="1"/>
        <v>3</v>
      </c>
      <c r="H22">
        <f t="shared" si="1"/>
        <v>5</v>
      </c>
      <c r="I22">
        <f t="shared" si="1"/>
        <v>5</v>
      </c>
      <c r="J22">
        <f t="shared" si="1"/>
        <v>5</v>
      </c>
      <c r="K22">
        <f t="shared" si="1"/>
        <v>4</v>
      </c>
      <c r="L22" s="68">
        <f t="shared" si="1"/>
        <v>1</v>
      </c>
      <c r="M22" s="68">
        <f t="shared" si="1"/>
        <v>0</v>
      </c>
      <c r="N22">
        <f t="shared" si="1"/>
        <v>3</v>
      </c>
      <c r="O22">
        <f t="shared" si="1"/>
        <v>4</v>
      </c>
      <c r="P22">
        <f t="shared" si="1"/>
        <v>4</v>
      </c>
      <c r="Q22">
        <f t="shared" si="1"/>
        <v>4</v>
      </c>
      <c r="R22">
        <f t="shared" si="1"/>
        <v>5</v>
      </c>
      <c r="S22" s="68">
        <f t="shared" si="1"/>
        <v>1</v>
      </c>
      <c r="T22" s="68">
        <f t="shared" si="1"/>
        <v>0</v>
      </c>
      <c r="U22">
        <f t="shared" si="1"/>
        <v>4</v>
      </c>
      <c r="V22">
        <f t="shared" si="1"/>
        <v>5</v>
      </c>
      <c r="W22">
        <f t="shared" si="1"/>
        <v>5</v>
      </c>
      <c r="X22">
        <f t="shared" si="1"/>
        <v>4</v>
      </c>
      <c r="Y22">
        <f t="shared" si="1"/>
        <v>4</v>
      </c>
      <c r="Z22" s="68">
        <f t="shared" si="1"/>
        <v>1</v>
      </c>
      <c r="AA22" s="68">
        <f t="shared" si="1"/>
        <v>0</v>
      </c>
      <c r="AB22">
        <f t="shared" si="1"/>
        <v>5</v>
      </c>
      <c r="AC22">
        <f t="shared" si="1"/>
        <v>3</v>
      </c>
      <c r="AD22">
        <f t="shared" si="1"/>
        <v>4</v>
      </c>
      <c r="AE22">
        <f t="shared" si="1"/>
        <v>4</v>
      </c>
      <c r="AF22">
        <f t="shared" si="1"/>
        <v>4</v>
      </c>
      <c r="AG22" s="68">
        <f t="shared" si="1"/>
        <v>1</v>
      </c>
      <c r="AH22" s="47"/>
      <c r="AI22" s="28"/>
      <c r="AJ22" s="9" t="s">
        <v>55</v>
      </c>
      <c r="AK22" s="19" t="s">
        <v>36</v>
      </c>
    </row>
    <row r="23" spans="1:37" x14ac:dyDescent="0.3">
      <c r="A23" s="66" t="s">
        <v>42</v>
      </c>
      <c r="C23">
        <f>SUM(COUNTIFS(C$8:C$20,"NT")+COUNTIFS(C$8:C$20,"OM")+COUNTIFS(C$8:C$20,"ON"))</f>
        <v>3</v>
      </c>
      <c r="D23">
        <f t="shared" ref="D23:AG23" si="2">SUM(COUNTIFS(D$8:D$20,"NT")+COUNTIFS(D$8:D$20,"OM")+COUNTIFS(D$8:D$20,"ON"))</f>
        <v>4</v>
      </c>
      <c r="E23" s="68">
        <f t="shared" si="2"/>
        <v>1</v>
      </c>
      <c r="F23" s="68">
        <f t="shared" si="2"/>
        <v>0</v>
      </c>
      <c r="G23">
        <f t="shared" si="2"/>
        <v>3</v>
      </c>
      <c r="H23">
        <f t="shared" si="2"/>
        <v>3</v>
      </c>
      <c r="I23">
        <f t="shared" si="2"/>
        <v>3</v>
      </c>
      <c r="J23">
        <f t="shared" si="2"/>
        <v>3</v>
      </c>
      <c r="K23">
        <f t="shared" si="2"/>
        <v>3</v>
      </c>
      <c r="L23" s="68">
        <f t="shared" si="2"/>
        <v>1</v>
      </c>
      <c r="M23" s="68">
        <f t="shared" si="2"/>
        <v>0</v>
      </c>
      <c r="N23">
        <f t="shared" si="2"/>
        <v>3</v>
      </c>
      <c r="O23">
        <f t="shared" si="2"/>
        <v>4</v>
      </c>
      <c r="P23">
        <f t="shared" si="2"/>
        <v>4</v>
      </c>
      <c r="Q23">
        <f t="shared" si="2"/>
        <v>4</v>
      </c>
      <c r="R23">
        <f t="shared" si="2"/>
        <v>3</v>
      </c>
      <c r="S23" s="68">
        <f t="shared" si="2"/>
        <v>1</v>
      </c>
      <c r="T23" s="68">
        <f t="shared" si="2"/>
        <v>0</v>
      </c>
      <c r="U23">
        <f t="shared" si="2"/>
        <v>3</v>
      </c>
      <c r="V23">
        <f t="shared" si="2"/>
        <v>3</v>
      </c>
      <c r="W23">
        <f t="shared" si="2"/>
        <v>4</v>
      </c>
      <c r="X23">
        <f t="shared" si="2"/>
        <v>4</v>
      </c>
      <c r="Y23">
        <f t="shared" si="2"/>
        <v>3</v>
      </c>
      <c r="Z23" s="68">
        <f t="shared" si="2"/>
        <v>1</v>
      </c>
      <c r="AA23" s="68">
        <f t="shared" si="2"/>
        <v>0</v>
      </c>
      <c r="AB23">
        <f t="shared" si="2"/>
        <v>3</v>
      </c>
      <c r="AC23">
        <f t="shared" si="2"/>
        <v>4</v>
      </c>
      <c r="AD23">
        <f t="shared" si="2"/>
        <v>4</v>
      </c>
      <c r="AE23">
        <f t="shared" si="2"/>
        <v>4</v>
      </c>
      <c r="AF23">
        <f t="shared" si="2"/>
        <v>4</v>
      </c>
      <c r="AG23" s="68">
        <f t="shared" si="2"/>
        <v>1</v>
      </c>
      <c r="AJ23" s="9" t="s">
        <v>77</v>
      </c>
      <c r="AK23" s="44" t="s">
        <v>58</v>
      </c>
    </row>
    <row r="24" spans="1:37" x14ac:dyDescent="0.3">
      <c r="AJ24" s="9" t="s">
        <v>90</v>
      </c>
      <c r="AK24" s="45" t="s">
        <v>80</v>
      </c>
    </row>
  </sheetData>
  <mergeCells count="3">
    <mergeCell ref="U2:AG2"/>
    <mergeCell ref="A3:B3"/>
    <mergeCell ref="AJ19:AK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03AA-3404-4C4F-ACEC-ADECB84E40A0}">
  <dimension ref="A3:AM23"/>
  <sheetViews>
    <sheetView tabSelected="1" zoomScale="90" zoomScaleNormal="90" workbookViewId="0">
      <pane xSplit="1" topLeftCell="B1" activePane="topRight" state="frozen"/>
      <selection pane="topRight" activeCell="F12" sqref="F12"/>
    </sheetView>
  </sheetViews>
  <sheetFormatPr defaultRowHeight="14.4" x14ac:dyDescent="0.3"/>
  <cols>
    <col min="1" max="1" width="15.21875" bestFit="1" customWidth="1"/>
    <col min="2" max="2" width="11.6640625" customWidth="1"/>
    <col min="3" max="4" width="3.33203125" bestFit="1" customWidth="1"/>
    <col min="5" max="6" width="3.21875" bestFit="1" customWidth="1"/>
    <col min="7" max="7" width="3" bestFit="1" customWidth="1"/>
    <col min="8" max="8" width="3.21875" bestFit="1" customWidth="1"/>
    <col min="9" max="9" width="3.33203125" bestFit="1" customWidth="1"/>
    <col min="10" max="10" width="3.44140625" bestFit="1" customWidth="1"/>
    <col min="11" max="11" width="3.33203125" bestFit="1" customWidth="1"/>
    <col min="12" max="15" width="3.21875" bestFit="1" customWidth="1"/>
    <col min="16" max="16" width="3.33203125" bestFit="1" customWidth="1"/>
    <col min="17" max="17" width="3.44140625" bestFit="1" customWidth="1"/>
    <col min="18" max="18" width="3.33203125" bestFit="1" customWidth="1"/>
    <col min="19" max="22" width="3.21875" bestFit="1" customWidth="1"/>
    <col min="23" max="25" width="3.33203125" bestFit="1" customWidth="1"/>
    <col min="26" max="28" width="3.21875" bestFit="1" customWidth="1"/>
    <col min="29" max="30" width="3.33203125" bestFit="1" customWidth="1"/>
    <col min="32" max="32" width="12.21875" bestFit="1" customWidth="1"/>
    <col min="33" max="33" width="17" bestFit="1" customWidth="1"/>
    <col min="35" max="35" width="13.33203125" bestFit="1" customWidth="1"/>
  </cols>
  <sheetData>
    <row r="3" spans="1:39" x14ac:dyDescent="0.3">
      <c r="A3" s="87" t="s">
        <v>109</v>
      </c>
      <c r="B3" s="81"/>
      <c r="C3" s="48">
        <v>1</v>
      </c>
      <c r="D3" s="48">
        <v>2</v>
      </c>
      <c r="E3" s="48">
        <v>3</v>
      </c>
      <c r="F3" s="48">
        <v>4</v>
      </c>
      <c r="G3" s="48">
        <v>5</v>
      </c>
      <c r="H3" s="48">
        <v>6</v>
      </c>
      <c r="I3" s="48">
        <v>7</v>
      </c>
      <c r="J3" s="48">
        <v>8</v>
      </c>
      <c r="K3" s="48">
        <v>9</v>
      </c>
      <c r="L3" s="48">
        <v>10</v>
      </c>
      <c r="M3" s="48">
        <v>11</v>
      </c>
      <c r="N3" s="48">
        <v>12</v>
      </c>
      <c r="O3" s="48">
        <v>13</v>
      </c>
      <c r="P3" s="48">
        <v>14</v>
      </c>
      <c r="Q3" s="48">
        <v>15</v>
      </c>
      <c r="R3" s="48">
        <v>16</v>
      </c>
      <c r="S3" s="48">
        <v>17</v>
      </c>
      <c r="T3" s="48">
        <v>18</v>
      </c>
      <c r="U3" s="48">
        <v>19</v>
      </c>
      <c r="V3" s="48">
        <v>20</v>
      </c>
      <c r="W3" s="48">
        <v>21</v>
      </c>
      <c r="X3" s="48">
        <v>22</v>
      </c>
      <c r="Y3" s="48">
        <v>23</v>
      </c>
      <c r="Z3" s="48">
        <v>24</v>
      </c>
      <c r="AA3" s="48">
        <v>25</v>
      </c>
      <c r="AB3" s="48">
        <v>26</v>
      </c>
      <c r="AC3" s="48">
        <v>27</v>
      </c>
      <c r="AD3" s="48">
        <v>28</v>
      </c>
    </row>
    <row r="4" spans="1:39" ht="22.2" x14ac:dyDescent="0.3">
      <c r="A4" s="30" t="s">
        <v>1</v>
      </c>
      <c r="B4" s="31" t="s">
        <v>2</v>
      </c>
      <c r="C4" s="49" t="s">
        <v>9</v>
      </c>
      <c r="D4" s="50" t="s">
        <v>3</v>
      </c>
      <c r="E4" s="50" t="s">
        <v>4</v>
      </c>
      <c r="F4" s="50" t="s">
        <v>5</v>
      </c>
      <c r="G4" s="50" t="s">
        <v>6</v>
      </c>
      <c r="H4" s="50" t="s">
        <v>7</v>
      </c>
      <c r="I4" s="49" t="s">
        <v>8</v>
      </c>
      <c r="J4" s="49" t="s">
        <v>9</v>
      </c>
      <c r="K4" s="50" t="s">
        <v>3</v>
      </c>
      <c r="L4" s="50" t="s">
        <v>4</v>
      </c>
      <c r="M4" s="50" t="s">
        <v>5</v>
      </c>
      <c r="N4" s="50" t="s">
        <v>6</v>
      </c>
      <c r="O4" s="50" t="s">
        <v>7</v>
      </c>
      <c r="P4" s="49" t="s">
        <v>8</v>
      </c>
      <c r="Q4" s="49" t="s">
        <v>9</v>
      </c>
      <c r="R4" s="50" t="s">
        <v>3</v>
      </c>
      <c r="S4" s="50" t="s">
        <v>4</v>
      </c>
      <c r="T4" s="50" t="s">
        <v>5</v>
      </c>
      <c r="U4" s="50" t="s">
        <v>6</v>
      </c>
      <c r="V4" s="50" t="s">
        <v>7</v>
      </c>
      <c r="W4" s="49" t="s">
        <v>8</v>
      </c>
      <c r="X4" s="49" t="s">
        <v>9</v>
      </c>
      <c r="Y4" s="50" t="s">
        <v>3</v>
      </c>
      <c r="Z4" s="50" t="s">
        <v>4</v>
      </c>
      <c r="AA4" s="50" t="s">
        <v>5</v>
      </c>
      <c r="AB4" s="50" t="s">
        <v>6</v>
      </c>
      <c r="AC4" s="50" t="s">
        <v>7</v>
      </c>
      <c r="AD4" s="49" t="s">
        <v>8</v>
      </c>
    </row>
    <row r="5" spans="1:39" hidden="1" x14ac:dyDescent="0.3">
      <c r="A5" s="34" t="s">
        <v>10</v>
      </c>
      <c r="B5" s="35" t="s">
        <v>11</v>
      </c>
      <c r="C5" s="51" t="s">
        <v>13</v>
      </c>
      <c r="D5" s="14" t="s">
        <v>12</v>
      </c>
      <c r="E5" s="52" t="s">
        <v>12</v>
      </c>
      <c r="F5" s="52" t="s">
        <v>12</v>
      </c>
      <c r="G5" s="52" t="s">
        <v>12</v>
      </c>
      <c r="H5" s="52" t="s">
        <v>12</v>
      </c>
      <c r="I5" s="51" t="s">
        <v>13</v>
      </c>
      <c r="J5" s="51" t="s">
        <v>13</v>
      </c>
      <c r="K5" s="14" t="s">
        <v>12</v>
      </c>
      <c r="L5" s="52" t="s">
        <v>12</v>
      </c>
      <c r="M5" s="52" t="s">
        <v>12</v>
      </c>
      <c r="N5" s="52" t="s">
        <v>12</v>
      </c>
      <c r="O5" s="52" t="s">
        <v>12</v>
      </c>
      <c r="P5" s="51" t="s">
        <v>13</v>
      </c>
      <c r="Q5" s="51" t="s">
        <v>13</v>
      </c>
      <c r="R5" s="14" t="s">
        <v>12</v>
      </c>
      <c r="S5" s="52" t="s">
        <v>12</v>
      </c>
      <c r="T5" s="52" t="s">
        <v>12</v>
      </c>
      <c r="U5" s="52" t="s">
        <v>12</v>
      </c>
      <c r="V5" s="52" t="s">
        <v>12</v>
      </c>
      <c r="W5" s="51" t="s">
        <v>13</v>
      </c>
      <c r="X5" s="51" t="s">
        <v>13</v>
      </c>
      <c r="Y5" s="14" t="s">
        <v>12</v>
      </c>
      <c r="Z5" s="52" t="s">
        <v>12</v>
      </c>
      <c r="AA5" s="52" t="s">
        <v>12</v>
      </c>
      <c r="AB5" s="52" t="s">
        <v>12</v>
      </c>
      <c r="AC5" s="52" t="s">
        <v>12</v>
      </c>
      <c r="AD5" s="51" t="s">
        <v>13</v>
      </c>
    </row>
    <row r="6" spans="1:39" hidden="1" x14ac:dyDescent="0.3">
      <c r="A6" s="34" t="s">
        <v>22</v>
      </c>
      <c r="B6" s="35" t="s">
        <v>18</v>
      </c>
      <c r="C6" s="51" t="s">
        <v>13</v>
      </c>
      <c r="D6" s="53" t="s">
        <v>19</v>
      </c>
      <c r="E6" s="54" t="s">
        <v>19</v>
      </c>
      <c r="F6" s="54" t="s">
        <v>19</v>
      </c>
      <c r="G6" s="54" t="s">
        <v>19</v>
      </c>
      <c r="H6" s="54" t="s">
        <v>19</v>
      </c>
      <c r="I6" s="51" t="s">
        <v>13</v>
      </c>
      <c r="J6" s="51" t="s">
        <v>13</v>
      </c>
      <c r="K6" s="53" t="s">
        <v>19</v>
      </c>
      <c r="L6" s="54" t="s">
        <v>19</v>
      </c>
      <c r="M6" s="54" t="s">
        <v>19</v>
      </c>
      <c r="N6" s="54" t="s">
        <v>19</v>
      </c>
      <c r="O6" s="54" t="s">
        <v>19</v>
      </c>
      <c r="P6" s="51" t="s">
        <v>13</v>
      </c>
      <c r="Q6" s="51" t="s">
        <v>13</v>
      </c>
      <c r="R6" s="53" t="s">
        <v>19</v>
      </c>
      <c r="S6" s="54" t="s">
        <v>19</v>
      </c>
      <c r="T6" s="54" t="s">
        <v>19</v>
      </c>
      <c r="U6" s="54" t="s">
        <v>19</v>
      </c>
      <c r="V6" s="54" t="s">
        <v>19</v>
      </c>
      <c r="W6" s="51" t="s">
        <v>13</v>
      </c>
      <c r="X6" s="51" t="s">
        <v>13</v>
      </c>
      <c r="Y6" s="53" t="s">
        <v>19</v>
      </c>
      <c r="Z6" s="54" t="s">
        <v>19</v>
      </c>
      <c r="AA6" s="54" t="s">
        <v>19</v>
      </c>
      <c r="AB6" s="54" t="s">
        <v>19</v>
      </c>
      <c r="AC6" s="54" t="s">
        <v>19</v>
      </c>
      <c r="AD6" s="51" t="s">
        <v>13</v>
      </c>
    </row>
    <row r="7" spans="1:39" x14ac:dyDescent="0.3">
      <c r="A7" s="40" t="s">
        <v>26</v>
      </c>
      <c r="B7" s="35" t="s">
        <v>11</v>
      </c>
      <c r="C7" s="51" t="s">
        <v>13</v>
      </c>
      <c r="D7" s="55" t="s">
        <v>25</v>
      </c>
      <c r="E7" s="55" t="s">
        <v>25</v>
      </c>
      <c r="F7" s="55" t="s">
        <v>25</v>
      </c>
      <c r="G7" s="14" t="s">
        <v>30</v>
      </c>
      <c r="H7" s="55" t="s">
        <v>25</v>
      </c>
      <c r="I7" s="51" t="s">
        <v>13</v>
      </c>
      <c r="J7" s="51" t="s">
        <v>13</v>
      </c>
      <c r="K7" s="55" t="s">
        <v>25</v>
      </c>
      <c r="L7" s="55" t="s">
        <v>25</v>
      </c>
      <c r="M7" s="55" t="s">
        <v>25</v>
      </c>
      <c r="N7" s="55" t="s">
        <v>25</v>
      </c>
      <c r="O7" s="55" t="s">
        <v>25</v>
      </c>
      <c r="P7" s="51" t="s">
        <v>13</v>
      </c>
      <c r="Q7" s="51" t="s">
        <v>13</v>
      </c>
      <c r="R7" s="67" t="s">
        <v>36</v>
      </c>
      <c r="S7" s="55" t="s">
        <v>25</v>
      </c>
      <c r="T7" s="55" t="s">
        <v>25</v>
      </c>
      <c r="U7" s="55" t="s">
        <v>25</v>
      </c>
      <c r="V7" s="55" t="s">
        <v>25</v>
      </c>
      <c r="W7" s="51" t="s">
        <v>13</v>
      </c>
      <c r="X7" s="51" t="s">
        <v>13</v>
      </c>
      <c r="Y7" s="55" t="s">
        <v>25</v>
      </c>
      <c r="Z7" s="55" t="s">
        <v>25</v>
      </c>
      <c r="AA7" s="55" t="s">
        <v>25</v>
      </c>
      <c r="AB7" s="55" t="s">
        <v>25</v>
      </c>
      <c r="AC7" s="55" t="s">
        <v>25</v>
      </c>
      <c r="AD7" s="51" t="s">
        <v>13</v>
      </c>
      <c r="AI7" t="s">
        <v>93</v>
      </c>
      <c r="AK7" s="28" t="s">
        <v>65</v>
      </c>
      <c r="AL7" s="47" t="s">
        <v>66</v>
      </c>
      <c r="AM7" s="47" t="s">
        <v>67</v>
      </c>
    </row>
    <row r="8" spans="1:39" x14ac:dyDescent="0.3">
      <c r="A8" s="40" t="s">
        <v>35</v>
      </c>
      <c r="B8" s="35" t="s">
        <v>18</v>
      </c>
      <c r="C8" s="11" t="s">
        <v>13</v>
      </c>
      <c r="D8" s="53" t="s">
        <v>42</v>
      </c>
      <c r="E8" s="53" t="s">
        <v>42</v>
      </c>
      <c r="F8" s="53" t="s">
        <v>42</v>
      </c>
      <c r="G8" s="53" t="s">
        <v>42</v>
      </c>
      <c r="H8" s="53" t="s">
        <v>42</v>
      </c>
      <c r="I8" s="11" t="s">
        <v>13</v>
      </c>
      <c r="J8" s="11" t="s">
        <v>13</v>
      </c>
      <c r="K8" s="53" t="s">
        <v>42</v>
      </c>
      <c r="L8" s="53" t="s">
        <v>42</v>
      </c>
      <c r="M8" s="53" t="s">
        <v>42</v>
      </c>
      <c r="N8" s="53" t="s">
        <v>42</v>
      </c>
      <c r="O8" s="53" t="s">
        <v>42</v>
      </c>
      <c r="P8" s="11" t="s">
        <v>13</v>
      </c>
      <c r="Q8" s="11" t="s">
        <v>13</v>
      </c>
      <c r="R8" s="53" t="s">
        <v>19</v>
      </c>
      <c r="S8" s="53" t="s">
        <v>19</v>
      </c>
      <c r="T8" s="53" t="s">
        <v>19</v>
      </c>
      <c r="U8" s="53" t="s">
        <v>19</v>
      </c>
      <c r="V8" s="53" t="s">
        <v>19</v>
      </c>
      <c r="W8" s="11" t="s">
        <v>13</v>
      </c>
      <c r="X8" s="11" t="s">
        <v>13</v>
      </c>
      <c r="Y8" s="53" t="s">
        <v>19</v>
      </c>
      <c r="Z8" s="53" t="s">
        <v>19</v>
      </c>
      <c r="AA8" s="53" t="s">
        <v>19</v>
      </c>
      <c r="AB8" s="53" t="s">
        <v>19</v>
      </c>
      <c r="AC8" s="53" t="s">
        <v>19</v>
      </c>
      <c r="AD8" s="51" t="s">
        <v>13</v>
      </c>
      <c r="AF8" s="28"/>
      <c r="AG8" s="28"/>
      <c r="AI8" t="s">
        <v>110</v>
      </c>
      <c r="AJ8" t="s">
        <v>69</v>
      </c>
      <c r="AK8" t="s">
        <v>19</v>
      </c>
      <c r="AL8" t="s">
        <v>42</v>
      </c>
      <c r="AM8" t="s">
        <v>108</v>
      </c>
    </row>
    <row r="9" spans="1:39" x14ac:dyDescent="0.3">
      <c r="A9" s="40" t="s">
        <v>39</v>
      </c>
      <c r="B9" s="35" t="s">
        <v>18</v>
      </c>
      <c r="C9" s="11" t="s">
        <v>13</v>
      </c>
      <c r="D9" s="53" t="s">
        <v>34</v>
      </c>
      <c r="E9" s="53" t="s">
        <v>34</v>
      </c>
      <c r="F9" s="53" t="s">
        <v>34</v>
      </c>
      <c r="G9" s="53" t="s">
        <v>34</v>
      </c>
      <c r="H9" s="53" t="s">
        <v>34</v>
      </c>
      <c r="I9" s="11" t="s">
        <v>13</v>
      </c>
      <c r="J9" s="11" t="s">
        <v>13</v>
      </c>
      <c r="K9" s="53" t="s">
        <v>34</v>
      </c>
      <c r="L9" s="53" t="s">
        <v>34</v>
      </c>
      <c r="M9" s="53" t="s">
        <v>34</v>
      </c>
      <c r="N9" s="53" t="s">
        <v>34</v>
      </c>
      <c r="O9" s="53" t="s">
        <v>34</v>
      </c>
      <c r="P9" s="11" t="s">
        <v>13</v>
      </c>
      <c r="Q9" s="11" t="s">
        <v>13</v>
      </c>
      <c r="R9" s="53" t="s">
        <v>34</v>
      </c>
      <c r="S9" s="53" t="s">
        <v>34</v>
      </c>
      <c r="T9" s="53" t="s">
        <v>34</v>
      </c>
      <c r="U9" s="53" t="s">
        <v>34</v>
      </c>
      <c r="V9" s="53" t="s">
        <v>34</v>
      </c>
      <c r="W9" s="11" t="s">
        <v>13</v>
      </c>
      <c r="X9" s="11" t="s">
        <v>13</v>
      </c>
      <c r="Y9" s="11" t="s">
        <v>13</v>
      </c>
      <c r="Z9" s="53" t="s">
        <v>34</v>
      </c>
      <c r="AA9" s="53" t="s">
        <v>34</v>
      </c>
      <c r="AB9" s="53" t="s">
        <v>34</v>
      </c>
      <c r="AC9" s="53" t="s">
        <v>34</v>
      </c>
      <c r="AD9" s="21" t="s">
        <v>34</v>
      </c>
      <c r="AF9" s="12" t="s">
        <v>14</v>
      </c>
      <c r="AG9" s="12" t="s">
        <v>15</v>
      </c>
    </row>
    <row r="10" spans="1:39" x14ac:dyDescent="0.3">
      <c r="A10" s="40" t="s">
        <v>43</v>
      </c>
      <c r="B10" s="35" t="s">
        <v>18</v>
      </c>
      <c r="C10" s="11" t="s">
        <v>13</v>
      </c>
      <c r="D10" s="11" t="s">
        <v>13</v>
      </c>
      <c r="E10" s="53" t="s">
        <v>19</v>
      </c>
      <c r="F10" s="53" t="s">
        <v>19</v>
      </c>
      <c r="G10" s="53" t="s">
        <v>19</v>
      </c>
      <c r="H10" s="53" t="s">
        <v>19</v>
      </c>
      <c r="I10" s="21" t="s">
        <v>19</v>
      </c>
      <c r="J10" s="11" t="s">
        <v>13</v>
      </c>
      <c r="K10" s="53" t="s">
        <v>19</v>
      </c>
      <c r="L10" s="53" t="s">
        <v>19</v>
      </c>
      <c r="M10" s="53" t="s">
        <v>19</v>
      </c>
      <c r="N10" s="53" t="s">
        <v>19</v>
      </c>
      <c r="O10" s="53" t="s">
        <v>19</v>
      </c>
      <c r="P10" s="11" t="s">
        <v>13</v>
      </c>
      <c r="Q10" s="11" t="s">
        <v>13</v>
      </c>
      <c r="R10" s="53" t="s">
        <v>34</v>
      </c>
      <c r="S10" s="53" t="s">
        <v>34</v>
      </c>
      <c r="T10" s="53" t="s">
        <v>34</v>
      </c>
      <c r="U10" s="53" t="s">
        <v>34</v>
      </c>
      <c r="V10" s="53" t="s">
        <v>34</v>
      </c>
      <c r="W10" s="11" t="s">
        <v>13</v>
      </c>
      <c r="X10" s="11" t="s">
        <v>13</v>
      </c>
      <c r="Y10" s="53" t="s">
        <v>34</v>
      </c>
      <c r="Z10" s="53" t="s">
        <v>34</v>
      </c>
      <c r="AA10" s="53" t="s">
        <v>34</v>
      </c>
      <c r="AB10" s="53" t="s">
        <v>34</v>
      </c>
      <c r="AC10" s="53" t="s">
        <v>34</v>
      </c>
      <c r="AD10" s="51" t="s">
        <v>13</v>
      </c>
      <c r="AF10" s="9" t="s">
        <v>20</v>
      </c>
      <c r="AG10" s="14" t="s">
        <v>21</v>
      </c>
    </row>
    <row r="11" spans="1:39" x14ac:dyDescent="0.3">
      <c r="A11" s="40" t="s">
        <v>44</v>
      </c>
      <c r="B11" s="35" t="s">
        <v>18</v>
      </c>
      <c r="C11" s="11" t="s">
        <v>13</v>
      </c>
      <c r="D11" s="53" t="s">
        <v>19</v>
      </c>
      <c r="E11" s="53" t="s">
        <v>19</v>
      </c>
      <c r="F11" s="53" t="s">
        <v>19</v>
      </c>
      <c r="G11" s="53" t="s">
        <v>19</v>
      </c>
      <c r="H11" s="53" t="s">
        <v>19</v>
      </c>
      <c r="I11" s="11" t="s">
        <v>13</v>
      </c>
      <c r="J11" s="11" t="s">
        <v>13</v>
      </c>
      <c r="K11" s="11" t="s">
        <v>13</v>
      </c>
      <c r="L11" s="53" t="s">
        <v>19</v>
      </c>
      <c r="M11" s="53" t="s">
        <v>19</v>
      </c>
      <c r="N11" s="53" t="s">
        <v>19</v>
      </c>
      <c r="O11" s="53" t="s">
        <v>19</v>
      </c>
      <c r="P11" s="21" t="s">
        <v>19</v>
      </c>
      <c r="Q11" s="11" t="s">
        <v>13</v>
      </c>
      <c r="R11" s="53" t="s">
        <v>19</v>
      </c>
      <c r="S11" s="53" t="s">
        <v>19</v>
      </c>
      <c r="T11" s="53" t="s">
        <v>19</v>
      </c>
      <c r="U11" s="53" t="s">
        <v>19</v>
      </c>
      <c r="V11" s="53" t="s">
        <v>19</v>
      </c>
      <c r="W11" s="11" t="s">
        <v>13</v>
      </c>
      <c r="X11" s="11" t="s">
        <v>13</v>
      </c>
      <c r="Y11" s="11" t="s">
        <v>13</v>
      </c>
      <c r="Z11" s="53" t="s">
        <v>19</v>
      </c>
      <c r="AA11" s="53" t="s">
        <v>19</v>
      </c>
      <c r="AB11" s="53" t="s">
        <v>19</v>
      </c>
      <c r="AC11" s="53" t="s">
        <v>19</v>
      </c>
      <c r="AD11" s="21" t="s">
        <v>19</v>
      </c>
      <c r="AF11" s="9" t="s">
        <v>23</v>
      </c>
      <c r="AG11" s="14" t="s">
        <v>63</v>
      </c>
    </row>
    <row r="12" spans="1:39" x14ac:dyDescent="0.3">
      <c r="A12" s="40" t="s">
        <v>45</v>
      </c>
      <c r="B12" s="35" t="s">
        <v>18</v>
      </c>
      <c r="C12" s="11" t="s">
        <v>13</v>
      </c>
      <c r="D12" s="53" t="s">
        <v>42</v>
      </c>
      <c r="E12" s="53" t="s">
        <v>42</v>
      </c>
      <c r="F12" s="53" t="s">
        <v>42</v>
      </c>
      <c r="G12" s="53" t="s">
        <v>42</v>
      </c>
      <c r="H12" s="53" t="s">
        <v>42</v>
      </c>
      <c r="I12" s="11" t="s">
        <v>13</v>
      </c>
      <c r="J12" s="11" t="s">
        <v>13</v>
      </c>
      <c r="K12" s="11" t="s">
        <v>13</v>
      </c>
      <c r="L12" s="53" t="s">
        <v>42</v>
      </c>
      <c r="M12" s="53" t="s">
        <v>42</v>
      </c>
      <c r="N12" s="53" t="s">
        <v>42</v>
      </c>
      <c r="O12" s="53" t="s">
        <v>42</v>
      </c>
      <c r="P12" s="21" t="s">
        <v>42</v>
      </c>
      <c r="Q12" s="11" t="s">
        <v>13</v>
      </c>
      <c r="R12" s="67" t="s">
        <v>36</v>
      </c>
      <c r="S12" s="67" t="s">
        <v>36</v>
      </c>
      <c r="T12" s="67" t="s">
        <v>36</v>
      </c>
      <c r="U12" s="67" t="s">
        <v>36</v>
      </c>
      <c r="V12" s="67" t="s">
        <v>36</v>
      </c>
      <c r="W12" s="11" t="s">
        <v>13</v>
      </c>
      <c r="X12" s="11" t="s">
        <v>13</v>
      </c>
      <c r="Y12" s="53" t="s">
        <v>19</v>
      </c>
      <c r="Z12" s="53" t="s">
        <v>19</v>
      </c>
      <c r="AA12" s="53" t="s">
        <v>19</v>
      </c>
      <c r="AB12" s="53" t="s">
        <v>19</v>
      </c>
      <c r="AC12" s="53" t="s">
        <v>19</v>
      </c>
      <c r="AD12" s="51" t="s">
        <v>13</v>
      </c>
      <c r="AF12" s="9" t="s">
        <v>28</v>
      </c>
      <c r="AG12" s="14" t="s">
        <v>29</v>
      </c>
    </row>
    <row r="13" spans="1:39" x14ac:dyDescent="0.3">
      <c r="A13" s="40" t="s">
        <v>49</v>
      </c>
      <c r="B13" s="35" t="s">
        <v>18</v>
      </c>
      <c r="C13" s="11" t="s">
        <v>13</v>
      </c>
      <c r="D13" s="53" t="s">
        <v>19</v>
      </c>
      <c r="E13" s="53" t="s">
        <v>19</v>
      </c>
      <c r="F13" s="53" t="s">
        <v>19</v>
      </c>
      <c r="G13" s="53" t="s">
        <v>19</v>
      </c>
      <c r="H13" s="53" t="s">
        <v>19</v>
      </c>
      <c r="I13" s="11" t="s">
        <v>13</v>
      </c>
      <c r="J13" s="11" t="s">
        <v>13</v>
      </c>
      <c r="K13" s="53" t="s">
        <v>19</v>
      </c>
      <c r="L13" s="53" t="s">
        <v>19</v>
      </c>
      <c r="M13" s="53" t="s">
        <v>19</v>
      </c>
      <c r="N13" s="53" t="s">
        <v>19</v>
      </c>
      <c r="O13" s="53" t="s">
        <v>19</v>
      </c>
      <c r="P13" s="11" t="s">
        <v>13</v>
      </c>
      <c r="Q13" s="11" t="s">
        <v>13</v>
      </c>
      <c r="R13" s="11" t="s">
        <v>13</v>
      </c>
      <c r="S13" s="53" t="s">
        <v>34</v>
      </c>
      <c r="T13" s="53" t="s">
        <v>34</v>
      </c>
      <c r="U13" s="53" t="s">
        <v>34</v>
      </c>
      <c r="V13" s="53" t="s">
        <v>34</v>
      </c>
      <c r="W13" s="21" t="s">
        <v>34</v>
      </c>
      <c r="X13" s="11" t="s">
        <v>13</v>
      </c>
      <c r="Y13" s="53" t="s">
        <v>34</v>
      </c>
      <c r="Z13" s="53" t="s">
        <v>34</v>
      </c>
      <c r="AA13" s="53" t="s">
        <v>34</v>
      </c>
      <c r="AB13" s="53" t="s">
        <v>34</v>
      </c>
      <c r="AC13" s="53" t="s">
        <v>34</v>
      </c>
      <c r="AD13" s="51" t="s">
        <v>13</v>
      </c>
      <c r="AF13" s="9" t="s">
        <v>32</v>
      </c>
      <c r="AG13" s="9" t="s">
        <v>33</v>
      </c>
    </row>
    <row r="14" spans="1:39" x14ac:dyDescent="0.3">
      <c r="A14" s="40" t="s">
        <v>52</v>
      </c>
      <c r="B14" s="35" t="s">
        <v>18</v>
      </c>
      <c r="C14" s="11" t="s">
        <v>13</v>
      </c>
      <c r="D14" s="53" t="s">
        <v>19</v>
      </c>
      <c r="E14" s="53" t="s">
        <v>19</v>
      </c>
      <c r="F14" s="53" t="s">
        <v>19</v>
      </c>
      <c r="G14" s="53" t="s">
        <v>19</v>
      </c>
      <c r="H14" s="45" t="s">
        <v>59</v>
      </c>
      <c r="I14" s="11" t="s">
        <v>13</v>
      </c>
      <c r="J14" s="11" t="s">
        <v>13</v>
      </c>
      <c r="K14" s="53" t="s">
        <v>19</v>
      </c>
      <c r="L14" s="53" t="s">
        <v>19</v>
      </c>
      <c r="M14" s="53" t="s">
        <v>19</v>
      </c>
      <c r="N14" s="53" t="s">
        <v>19</v>
      </c>
      <c r="O14" s="53" t="s">
        <v>19</v>
      </c>
      <c r="P14" s="11" t="s">
        <v>13</v>
      </c>
      <c r="Q14" s="11" t="s">
        <v>13</v>
      </c>
      <c r="R14" s="53" t="s">
        <v>42</v>
      </c>
      <c r="S14" s="53" t="s">
        <v>42</v>
      </c>
      <c r="T14" s="53" t="s">
        <v>42</v>
      </c>
      <c r="U14" s="53" t="s">
        <v>42</v>
      </c>
      <c r="V14" s="11" t="s">
        <v>13</v>
      </c>
      <c r="W14" s="21" t="s">
        <v>42</v>
      </c>
      <c r="X14" s="11" t="s">
        <v>13</v>
      </c>
      <c r="Y14" s="53" t="s">
        <v>42</v>
      </c>
      <c r="Z14" s="53" t="s">
        <v>42</v>
      </c>
      <c r="AA14" s="53" t="s">
        <v>42</v>
      </c>
      <c r="AB14" s="53" t="s">
        <v>42</v>
      </c>
      <c r="AC14" s="53" t="s">
        <v>42</v>
      </c>
      <c r="AD14" s="51" t="s">
        <v>13</v>
      </c>
      <c r="AF14" s="9" t="s">
        <v>37</v>
      </c>
      <c r="AG14" s="9" t="s">
        <v>38</v>
      </c>
    </row>
    <row r="15" spans="1:39" x14ac:dyDescent="0.3">
      <c r="A15" s="40" t="s">
        <v>54</v>
      </c>
      <c r="B15" s="35" t="s">
        <v>18</v>
      </c>
      <c r="C15" s="11" t="s">
        <v>13</v>
      </c>
      <c r="D15" s="11" t="s">
        <v>13</v>
      </c>
      <c r="E15" s="53" t="s">
        <v>42</v>
      </c>
      <c r="F15" s="53" t="s">
        <v>42</v>
      </c>
      <c r="G15" s="53" t="s">
        <v>42</v>
      </c>
      <c r="H15" s="53" t="s">
        <v>42</v>
      </c>
      <c r="I15" s="21" t="s">
        <v>42</v>
      </c>
      <c r="J15" s="11" t="s">
        <v>13</v>
      </c>
      <c r="K15" s="53" t="s">
        <v>42</v>
      </c>
      <c r="L15" s="53" t="s">
        <v>42</v>
      </c>
      <c r="M15" s="53" t="s">
        <v>42</v>
      </c>
      <c r="N15" s="53" t="s">
        <v>42</v>
      </c>
      <c r="O15" s="53" t="s">
        <v>42</v>
      </c>
      <c r="P15" s="11" t="s">
        <v>13</v>
      </c>
      <c r="Q15" s="11" t="s">
        <v>13</v>
      </c>
      <c r="R15" s="53" t="s">
        <v>42</v>
      </c>
      <c r="S15" s="53" t="s">
        <v>42</v>
      </c>
      <c r="T15" s="53" t="s">
        <v>42</v>
      </c>
      <c r="U15" s="53" t="s">
        <v>42</v>
      </c>
      <c r="V15" s="53" t="s">
        <v>42</v>
      </c>
      <c r="W15" s="11" t="s">
        <v>13</v>
      </c>
      <c r="X15" s="11" t="s">
        <v>13</v>
      </c>
      <c r="Y15" s="51" t="s">
        <v>13</v>
      </c>
      <c r="Z15" s="53" t="s">
        <v>42</v>
      </c>
      <c r="AA15" s="53" t="s">
        <v>42</v>
      </c>
      <c r="AB15" s="53" t="s">
        <v>42</v>
      </c>
      <c r="AC15" s="53" t="s">
        <v>42</v>
      </c>
      <c r="AD15" s="21" t="s">
        <v>42</v>
      </c>
      <c r="AF15" s="9" t="s">
        <v>40</v>
      </c>
      <c r="AG15" s="9" t="s">
        <v>41</v>
      </c>
    </row>
    <row r="16" spans="1:39" x14ac:dyDescent="0.3">
      <c r="A16" s="40" t="s">
        <v>74</v>
      </c>
      <c r="B16" s="35" t="s">
        <v>18</v>
      </c>
      <c r="C16" s="11" t="s">
        <v>13</v>
      </c>
      <c r="D16" s="53" t="s">
        <v>19</v>
      </c>
      <c r="E16" s="53" t="s">
        <v>19</v>
      </c>
      <c r="F16" s="53" t="s">
        <v>19</v>
      </c>
      <c r="G16" s="53" t="s">
        <v>19</v>
      </c>
      <c r="H16" s="67" t="s">
        <v>36</v>
      </c>
      <c r="I16" s="11" t="s">
        <v>13</v>
      </c>
      <c r="J16" s="11" t="s">
        <v>13</v>
      </c>
      <c r="K16" s="53" t="s">
        <v>19</v>
      </c>
      <c r="L16" s="53" t="s">
        <v>19</v>
      </c>
      <c r="M16" s="53" t="s">
        <v>19</v>
      </c>
      <c r="N16" s="53" t="s">
        <v>19</v>
      </c>
      <c r="O16" s="53" t="s">
        <v>19</v>
      </c>
      <c r="P16" s="11" t="s">
        <v>13</v>
      </c>
      <c r="Q16" s="11" t="s">
        <v>13</v>
      </c>
      <c r="R16" s="53" t="s">
        <v>42</v>
      </c>
      <c r="S16" s="53" t="s">
        <v>42</v>
      </c>
      <c r="T16" s="53" t="s">
        <v>42</v>
      </c>
      <c r="U16" s="53" t="s">
        <v>42</v>
      </c>
      <c r="V16" s="53" t="s">
        <v>42</v>
      </c>
      <c r="W16" s="11" t="s">
        <v>13</v>
      </c>
      <c r="X16" s="11" t="s">
        <v>13</v>
      </c>
      <c r="Y16" s="53" t="s">
        <v>42</v>
      </c>
      <c r="Z16" s="53" t="s">
        <v>42</v>
      </c>
      <c r="AA16" s="53" t="s">
        <v>42</v>
      </c>
      <c r="AB16" s="53" t="s">
        <v>42</v>
      </c>
      <c r="AC16" s="53" t="s">
        <v>42</v>
      </c>
      <c r="AD16" s="51" t="s">
        <v>13</v>
      </c>
      <c r="AF16" s="28"/>
      <c r="AG16" s="28"/>
    </row>
    <row r="17" spans="1:33" x14ac:dyDescent="0.3">
      <c r="A17" s="40" t="s">
        <v>75</v>
      </c>
      <c r="B17" s="35" t="s">
        <v>18</v>
      </c>
      <c r="C17" s="11" t="s">
        <v>13</v>
      </c>
      <c r="D17" s="53" t="s">
        <v>34</v>
      </c>
      <c r="E17" s="53" t="s">
        <v>34</v>
      </c>
      <c r="F17" s="53" t="s">
        <v>34</v>
      </c>
      <c r="G17" s="53" t="s">
        <v>34</v>
      </c>
      <c r="H17" s="53" t="s">
        <v>34</v>
      </c>
      <c r="I17" s="11" t="s">
        <v>13</v>
      </c>
      <c r="J17" s="11" t="s">
        <v>13</v>
      </c>
      <c r="K17" s="11" t="s">
        <v>13</v>
      </c>
      <c r="L17" s="53" t="s">
        <v>34</v>
      </c>
      <c r="M17" s="53" t="s">
        <v>34</v>
      </c>
      <c r="N17" s="53" t="s">
        <v>34</v>
      </c>
      <c r="O17" s="53" t="s">
        <v>34</v>
      </c>
      <c r="P17" s="21" t="s">
        <v>34</v>
      </c>
      <c r="Q17" s="11" t="s">
        <v>13</v>
      </c>
      <c r="R17" s="45" t="s">
        <v>59</v>
      </c>
      <c r="S17" s="53" t="s">
        <v>19</v>
      </c>
      <c r="T17" s="53" t="s">
        <v>19</v>
      </c>
      <c r="U17" s="53" t="s">
        <v>19</v>
      </c>
      <c r="V17" s="53" t="s">
        <v>19</v>
      </c>
      <c r="W17" s="11" t="s">
        <v>13</v>
      </c>
      <c r="X17" s="11" t="s">
        <v>13</v>
      </c>
      <c r="Y17" s="53" t="s">
        <v>19</v>
      </c>
      <c r="Z17" s="53" t="s">
        <v>19</v>
      </c>
      <c r="AA17" s="53" t="s">
        <v>19</v>
      </c>
      <c r="AB17" s="53" t="s">
        <v>19</v>
      </c>
      <c r="AC17" s="53" t="s">
        <v>19</v>
      </c>
      <c r="AD17" s="51" t="s">
        <v>13</v>
      </c>
      <c r="AF17" s="28"/>
      <c r="AG17" s="28"/>
    </row>
    <row r="18" spans="1:33" x14ac:dyDescent="0.3">
      <c r="A18" s="40" t="s">
        <v>108</v>
      </c>
      <c r="B18" s="61" t="s">
        <v>18</v>
      </c>
      <c r="C18" s="11" t="s">
        <v>13</v>
      </c>
      <c r="D18" s="11" t="s">
        <v>13</v>
      </c>
      <c r="E18" s="53" t="s">
        <v>34</v>
      </c>
      <c r="F18" s="53" t="s">
        <v>34</v>
      </c>
      <c r="G18" s="53" t="s">
        <v>34</v>
      </c>
      <c r="H18" s="53" t="s">
        <v>34</v>
      </c>
      <c r="I18" s="21" t="s">
        <v>34</v>
      </c>
      <c r="J18" s="11" t="s">
        <v>13</v>
      </c>
      <c r="K18" s="53" t="s">
        <v>34</v>
      </c>
      <c r="L18" s="53" t="s">
        <v>34</v>
      </c>
      <c r="M18" s="53" t="s">
        <v>34</v>
      </c>
      <c r="N18" s="53" t="s">
        <v>34</v>
      </c>
      <c r="O18" s="53" t="s">
        <v>34</v>
      </c>
      <c r="P18" s="11" t="s">
        <v>13</v>
      </c>
      <c r="Q18" s="11" t="s">
        <v>13</v>
      </c>
      <c r="R18" s="53" t="s">
        <v>19</v>
      </c>
      <c r="S18" s="53" t="s">
        <v>19</v>
      </c>
      <c r="T18" s="53" t="s">
        <v>19</v>
      </c>
      <c r="U18" s="53" t="s">
        <v>19</v>
      </c>
      <c r="V18" s="11" t="s">
        <v>13</v>
      </c>
      <c r="W18" s="21" t="s">
        <v>19</v>
      </c>
      <c r="X18" s="11" t="s">
        <v>13</v>
      </c>
      <c r="Y18" s="53" t="s">
        <v>19</v>
      </c>
      <c r="Z18" s="53" t="s">
        <v>19</v>
      </c>
      <c r="AA18" s="53" t="s">
        <v>19</v>
      </c>
      <c r="AB18" s="53" t="s">
        <v>19</v>
      </c>
      <c r="AC18" s="53" t="s">
        <v>19</v>
      </c>
      <c r="AD18" s="51" t="s">
        <v>13</v>
      </c>
      <c r="AF18" s="77" t="s">
        <v>16</v>
      </c>
      <c r="AG18" s="78"/>
    </row>
    <row r="19" spans="1:33" x14ac:dyDescent="0.3">
      <c r="AF19" s="9" t="s">
        <v>88</v>
      </c>
      <c r="AG19" s="21" t="s">
        <v>89</v>
      </c>
    </row>
    <row r="20" spans="1:33" x14ac:dyDescent="0.3">
      <c r="A20" s="66" t="s">
        <v>34</v>
      </c>
      <c r="C20" s="68">
        <f>COUNTIFS(C$7:C$18,"M")</f>
        <v>0</v>
      </c>
      <c r="D20">
        <f t="shared" ref="D20:AD20" si="0">COUNTIFS(D$7:D$18,"M")</f>
        <v>2</v>
      </c>
      <c r="E20">
        <f t="shared" si="0"/>
        <v>3</v>
      </c>
      <c r="F20">
        <f t="shared" si="0"/>
        <v>3</v>
      </c>
      <c r="G20">
        <f t="shared" si="0"/>
        <v>3</v>
      </c>
      <c r="H20">
        <f t="shared" si="0"/>
        <v>3</v>
      </c>
      <c r="I20" s="68">
        <f t="shared" si="0"/>
        <v>1</v>
      </c>
      <c r="J20" s="68">
        <f t="shared" si="0"/>
        <v>0</v>
      </c>
      <c r="K20">
        <f t="shared" si="0"/>
        <v>2</v>
      </c>
      <c r="L20">
        <f t="shared" si="0"/>
        <v>3</v>
      </c>
      <c r="M20">
        <f t="shared" si="0"/>
        <v>3</v>
      </c>
      <c r="N20">
        <f t="shared" si="0"/>
        <v>3</v>
      </c>
      <c r="O20">
        <f t="shared" si="0"/>
        <v>3</v>
      </c>
      <c r="P20" s="68">
        <f t="shared" si="0"/>
        <v>1</v>
      </c>
      <c r="Q20" s="68">
        <f t="shared" si="0"/>
        <v>0</v>
      </c>
      <c r="R20">
        <f t="shared" si="0"/>
        <v>2</v>
      </c>
      <c r="S20">
        <f t="shared" si="0"/>
        <v>3</v>
      </c>
      <c r="T20">
        <f t="shared" si="0"/>
        <v>3</v>
      </c>
      <c r="U20">
        <f t="shared" si="0"/>
        <v>3</v>
      </c>
      <c r="V20">
        <f t="shared" si="0"/>
        <v>3</v>
      </c>
      <c r="W20" s="68">
        <f t="shared" si="0"/>
        <v>1</v>
      </c>
      <c r="X20" s="68">
        <f t="shared" si="0"/>
        <v>0</v>
      </c>
      <c r="Y20">
        <f t="shared" si="0"/>
        <v>2</v>
      </c>
      <c r="Z20">
        <f t="shared" si="0"/>
        <v>3</v>
      </c>
      <c r="AA20">
        <f t="shared" si="0"/>
        <v>3</v>
      </c>
      <c r="AB20">
        <f t="shared" si="0"/>
        <v>3</v>
      </c>
      <c r="AC20">
        <f t="shared" si="0"/>
        <v>3</v>
      </c>
      <c r="AD20" s="68">
        <f t="shared" si="0"/>
        <v>1</v>
      </c>
      <c r="AF20" s="9" t="s">
        <v>53</v>
      </c>
      <c r="AG20" s="22" t="s">
        <v>13</v>
      </c>
    </row>
    <row r="21" spans="1:33" x14ac:dyDescent="0.3">
      <c r="A21" s="66" t="s">
        <v>19</v>
      </c>
      <c r="C21" s="68">
        <f>COUNTIFS(C$7:C$18,"N")</f>
        <v>0</v>
      </c>
      <c r="D21">
        <f t="shared" ref="D21:AD21" si="1">COUNTIFS(D$7:D$18,"N")</f>
        <v>4</v>
      </c>
      <c r="E21">
        <f t="shared" si="1"/>
        <v>5</v>
      </c>
      <c r="F21">
        <f t="shared" si="1"/>
        <v>5</v>
      </c>
      <c r="G21">
        <f t="shared" si="1"/>
        <v>5</v>
      </c>
      <c r="H21">
        <f t="shared" si="1"/>
        <v>3</v>
      </c>
      <c r="I21" s="68">
        <f t="shared" si="1"/>
        <v>1</v>
      </c>
      <c r="J21" s="68">
        <f t="shared" si="1"/>
        <v>0</v>
      </c>
      <c r="K21">
        <f t="shared" si="1"/>
        <v>4</v>
      </c>
      <c r="L21">
        <f t="shared" si="1"/>
        <v>5</v>
      </c>
      <c r="M21">
        <f t="shared" si="1"/>
        <v>5</v>
      </c>
      <c r="N21">
        <f t="shared" si="1"/>
        <v>5</v>
      </c>
      <c r="O21">
        <f t="shared" si="1"/>
        <v>5</v>
      </c>
      <c r="P21" s="68">
        <f t="shared" si="1"/>
        <v>1</v>
      </c>
      <c r="Q21" s="68">
        <f t="shared" si="1"/>
        <v>0</v>
      </c>
      <c r="R21">
        <f t="shared" si="1"/>
        <v>3</v>
      </c>
      <c r="S21">
        <f t="shared" si="1"/>
        <v>4</v>
      </c>
      <c r="T21">
        <f t="shared" si="1"/>
        <v>4</v>
      </c>
      <c r="U21">
        <f t="shared" si="1"/>
        <v>4</v>
      </c>
      <c r="V21">
        <f t="shared" si="1"/>
        <v>3</v>
      </c>
      <c r="W21" s="68">
        <f t="shared" si="1"/>
        <v>1</v>
      </c>
      <c r="X21" s="68">
        <f t="shared" si="1"/>
        <v>0</v>
      </c>
      <c r="Y21">
        <f t="shared" si="1"/>
        <v>4</v>
      </c>
      <c r="Z21">
        <f t="shared" si="1"/>
        <v>5</v>
      </c>
      <c r="AA21">
        <f t="shared" si="1"/>
        <v>5</v>
      </c>
      <c r="AB21">
        <f t="shared" si="1"/>
        <v>5</v>
      </c>
      <c r="AC21">
        <f t="shared" si="1"/>
        <v>5</v>
      </c>
      <c r="AD21" s="68">
        <f t="shared" si="1"/>
        <v>1</v>
      </c>
      <c r="AF21" s="9" t="s">
        <v>55</v>
      </c>
      <c r="AG21" s="19" t="s">
        <v>36</v>
      </c>
    </row>
    <row r="22" spans="1:33" x14ac:dyDescent="0.3">
      <c r="A22" s="66" t="s">
        <v>42</v>
      </c>
      <c r="C22" s="68">
        <f>SUM(COUNTIFS(C$7:C$18,"NT")+COUNTIFS(C$7:C$18,"OM")+COUNTIFS(C$7:C$18,"ON"))</f>
        <v>0</v>
      </c>
      <c r="D22">
        <f t="shared" ref="D22:AD22" si="2">SUM(COUNTIFS(D$7:D$18,"NT")+COUNTIFS(D$7:D$18,"OM")+COUNTIFS(D$7:D$18,"ON"))</f>
        <v>3</v>
      </c>
      <c r="E22">
        <f t="shared" si="2"/>
        <v>4</v>
      </c>
      <c r="F22">
        <f t="shared" si="2"/>
        <v>4</v>
      </c>
      <c r="G22">
        <f t="shared" si="2"/>
        <v>4</v>
      </c>
      <c r="H22">
        <f t="shared" si="2"/>
        <v>4</v>
      </c>
      <c r="I22" s="68">
        <f t="shared" si="2"/>
        <v>1</v>
      </c>
      <c r="J22" s="68">
        <f t="shared" si="2"/>
        <v>0</v>
      </c>
      <c r="K22">
        <f t="shared" si="2"/>
        <v>3</v>
      </c>
      <c r="L22">
        <f t="shared" si="2"/>
        <v>4</v>
      </c>
      <c r="M22">
        <f t="shared" si="2"/>
        <v>4</v>
      </c>
      <c r="N22">
        <f t="shared" si="2"/>
        <v>4</v>
      </c>
      <c r="O22">
        <f t="shared" si="2"/>
        <v>4</v>
      </c>
      <c r="P22" s="68">
        <f t="shared" si="2"/>
        <v>1</v>
      </c>
      <c r="Q22" s="68">
        <f t="shared" si="2"/>
        <v>0</v>
      </c>
      <c r="R22">
        <f t="shared" si="2"/>
        <v>3</v>
      </c>
      <c r="S22">
        <f t="shared" si="2"/>
        <v>4</v>
      </c>
      <c r="T22">
        <f t="shared" si="2"/>
        <v>4</v>
      </c>
      <c r="U22">
        <f t="shared" si="2"/>
        <v>4</v>
      </c>
      <c r="V22">
        <f t="shared" si="2"/>
        <v>3</v>
      </c>
      <c r="W22" s="68">
        <f t="shared" si="2"/>
        <v>1</v>
      </c>
      <c r="X22" s="68">
        <f t="shared" si="2"/>
        <v>0</v>
      </c>
      <c r="Y22">
        <f t="shared" si="2"/>
        <v>3</v>
      </c>
      <c r="Z22">
        <f t="shared" si="2"/>
        <v>4</v>
      </c>
      <c r="AA22">
        <f t="shared" si="2"/>
        <v>4</v>
      </c>
      <c r="AB22">
        <f t="shared" si="2"/>
        <v>4</v>
      </c>
      <c r="AC22">
        <f t="shared" si="2"/>
        <v>4</v>
      </c>
      <c r="AD22" s="68">
        <f t="shared" si="2"/>
        <v>1</v>
      </c>
      <c r="AF22" s="9" t="s">
        <v>77</v>
      </c>
      <c r="AG22" s="44" t="s">
        <v>58</v>
      </c>
    </row>
    <row r="23" spans="1:33" x14ac:dyDescent="0.3">
      <c r="AF23" s="9" t="s">
        <v>90</v>
      </c>
      <c r="AG23" s="45" t="s">
        <v>80</v>
      </c>
    </row>
  </sheetData>
  <mergeCells count="2">
    <mergeCell ref="A3:B3"/>
    <mergeCell ref="AF18:AG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43C5-A335-4FC2-B2DC-879EE7A41516}">
  <dimension ref="A1:J216"/>
  <sheetViews>
    <sheetView workbookViewId="0">
      <pane ySplit="1" topLeftCell="A35" activePane="bottomLeft" state="frozen"/>
      <selection pane="bottomLeft" activeCell="C35" sqref="C35"/>
    </sheetView>
  </sheetViews>
  <sheetFormatPr defaultRowHeight="15" customHeight="1" x14ac:dyDescent="0.3"/>
  <cols>
    <col min="1" max="1" width="17.77734375" customWidth="1"/>
    <col min="2" max="2" width="6" bestFit="1" customWidth="1"/>
    <col min="3" max="3" width="15.44140625" customWidth="1"/>
    <col min="4" max="4" width="10.21875" bestFit="1" customWidth="1"/>
    <col min="5" max="5" width="19.77734375" customWidth="1"/>
    <col min="9" max="9" width="12.77734375" bestFit="1" customWidth="1"/>
    <col min="10" max="10" width="9.77734375" customWidth="1"/>
  </cols>
  <sheetData>
    <row r="1" spans="1:10" ht="15" customHeight="1" x14ac:dyDescent="0.3">
      <c r="A1" s="58" t="s">
        <v>91</v>
      </c>
      <c r="B1" s="58" t="s">
        <v>92</v>
      </c>
      <c r="C1" s="58" t="s">
        <v>93</v>
      </c>
      <c r="D1" s="58" t="s">
        <v>60</v>
      </c>
      <c r="E1" s="58" t="s">
        <v>94</v>
      </c>
    </row>
    <row r="2" spans="1:10" ht="15" customHeight="1" x14ac:dyDescent="0.3">
      <c r="A2" s="53" t="s">
        <v>45</v>
      </c>
      <c r="B2" s="53" t="s">
        <v>34</v>
      </c>
      <c r="C2" s="60">
        <v>45920</v>
      </c>
      <c r="D2" s="60">
        <v>45947</v>
      </c>
      <c r="E2" s="53" t="s">
        <v>95</v>
      </c>
    </row>
    <row r="3" spans="1:10" ht="15" customHeight="1" x14ac:dyDescent="0.3">
      <c r="A3" s="53" t="s">
        <v>52</v>
      </c>
      <c r="B3" s="53" t="s">
        <v>19</v>
      </c>
      <c r="C3" s="60">
        <v>45920</v>
      </c>
      <c r="D3" s="60">
        <v>45930</v>
      </c>
      <c r="E3" s="53" t="s">
        <v>95</v>
      </c>
    </row>
    <row r="4" spans="1:10" ht="15" customHeight="1" x14ac:dyDescent="0.3">
      <c r="A4" s="53" t="s">
        <v>45</v>
      </c>
      <c r="B4" s="53" t="s">
        <v>19</v>
      </c>
      <c r="C4" s="60">
        <v>45921</v>
      </c>
      <c r="D4" s="60">
        <v>45952</v>
      </c>
      <c r="E4" s="53" t="s">
        <v>95</v>
      </c>
      <c r="I4" s="58" t="s">
        <v>91</v>
      </c>
      <c r="J4" s="58" t="s">
        <v>96</v>
      </c>
    </row>
    <row r="5" spans="1:10" ht="15" customHeight="1" x14ac:dyDescent="0.3">
      <c r="A5" s="53" t="s">
        <v>52</v>
      </c>
      <c r="B5" s="53" t="s">
        <v>34</v>
      </c>
      <c r="C5" s="60">
        <v>45921</v>
      </c>
      <c r="D5" s="60">
        <v>45940</v>
      </c>
      <c r="E5" s="53" t="s">
        <v>95</v>
      </c>
      <c r="I5" s="61" t="s">
        <v>35</v>
      </c>
      <c r="J5" s="62">
        <f t="shared" ref="J5:J15" si="0">COUNTIFS($A:$A,I5,$D:$D,"")</f>
        <v>3</v>
      </c>
    </row>
    <row r="6" spans="1:10" ht="15" customHeight="1" x14ac:dyDescent="0.3">
      <c r="A6" s="53" t="s">
        <v>26</v>
      </c>
      <c r="B6" s="53" t="s">
        <v>97</v>
      </c>
      <c r="C6" s="60">
        <v>45927</v>
      </c>
      <c r="D6" s="60">
        <v>45961</v>
      </c>
      <c r="E6" s="53" t="s">
        <v>95</v>
      </c>
      <c r="I6" s="61" t="s">
        <v>39</v>
      </c>
      <c r="J6" s="62">
        <f t="shared" si="0"/>
        <v>1</v>
      </c>
    </row>
    <row r="7" spans="1:10" ht="15" customHeight="1" x14ac:dyDescent="0.3">
      <c r="A7" s="53" t="s">
        <v>49</v>
      </c>
      <c r="B7" s="53" t="s">
        <v>34</v>
      </c>
      <c r="C7" s="60">
        <v>45927</v>
      </c>
      <c r="D7" s="60">
        <v>45933</v>
      </c>
      <c r="E7" s="53" t="s">
        <v>95</v>
      </c>
      <c r="I7" s="61" t="s">
        <v>43</v>
      </c>
      <c r="J7" s="62">
        <f t="shared" si="0"/>
        <v>2</v>
      </c>
    </row>
    <row r="8" spans="1:10" ht="15" customHeight="1" x14ac:dyDescent="0.3">
      <c r="A8" s="53" t="s">
        <v>43</v>
      </c>
      <c r="B8" s="54" t="s">
        <v>19</v>
      </c>
      <c r="C8" s="60">
        <v>45931</v>
      </c>
      <c r="D8" s="60">
        <v>45952</v>
      </c>
      <c r="E8" s="53" t="s">
        <v>98</v>
      </c>
      <c r="I8" s="61" t="s">
        <v>44</v>
      </c>
      <c r="J8" s="62">
        <f t="shared" si="0"/>
        <v>3</v>
      </c>
    </row>
    <row r="9" spans="1:10" ht="15" customHeight="1" x14ac:dyDescent="0.3">
      <c r="A9" s="53" t="s">
        <v>52</v>
      </c>
      <c r="B9" s="54" t="s">
        <v>34</v>
      </c>
      <c r="C9" s="60">
        <v>45931</v>
      </c>
      <c r="D9" s="60">
        <v>45946</v>
      </c>
      <c r="E9" s="53" t="s">
        <v>98</v>
      </c>
      <c r="I9" s="61" t="s">
        <v>45</v>
      </c>
      <c r="J9" s="62">
        <f t="shared" si="0"/>
        <v>2</v>
      </c>
    </row>
    <row r="10" spans="1:10" ht="15" customHeight="1" x14ac:dyDescent="0.3">
      <c r="A10" s="53" t="s">
        <v>45</v>
      </c>
      <c r="B10" s="54" t="s">
        <v>42</v>
      </c>
      <c r="C10" s="60">
        <v>45931</v>
      </c>
      <c r="D10" s="60">
        <v>45995</v>
      </c>
      <c r="E10" s="53" t="s">
        <v>98</v>
      </c>
      <c r="I10" s="61" t="s">
        <v>49</v>
      </c>
      <c r="J10" s="62">
        <f t="shared" si="0"/>
        <v>1</v>
      </c>
    </row>
    <row r="11" spans="1:10" ht="15" customHeight="1" x14ac:dyDescent="0.3">
      <c r="A11" s="53" t="s">
        <v>35</v>
      </c>
      <c r="B11" s="53" t="s">
        <v>19</v>
      </c>
      <c r="C11" s="60">
        <v>45932</v>
      </c>
      <c r="D11" s="60">
        <v>45972</v>
      </c>
      <c r="E11" s="53" t="s">
        <v>99</v>
      </c>
      <c r="I11" s="61" t="s">
        <v>52</v>
      </c>
      <c r="J11" s="62">
        <f t="shared" si="0"/>
        <v>2</v>
      </c>
    </row>
    <row r="12" spans="1:10" ht="15" customHeight="1" x14ac:dyDescent="0.3">
      <c r="A12" s="53" t="s">
        <v>39</v>
      </c>
      <c r="B12" s="53" t="s">
        <v>34</v>
      </c>
      <c r="C12" s="60">
        <v>45932</v>
      </c>
      <c r="D12" s="60">
        <v>46003</v>
      </c>
      <c r="E12" s="53" t="s">
        <v>99</v>
      </c>
      <c r="I12" s="61" t="s">
        <v>54</v>
      </c>
      <c r="J12" s="62">
        <f t="shared" si="0"/>
        <v>1</v>
      </c>
    </row>
    <row r="13" spans="1:10" ht="15" customHeight="1" x14ac:dyDescent="0.3">
      <c r="A13" s="53" t="s">
        <v>43</v>
      </c>
      <c r="B13" s="53" t="s">
        <v>19</v>
      </c>
      <c r="C13" s="60">
        <v>45932</v>
      </c>
      <c r="D13" s="60">
        <v>46020</v>
      </c>
      <c r="E13" s="53" t="s">
        <v>99</v>
      </c>
      <c r="I13" s="61" t="s">
        <v>74</v>
      </c>
      <c r="J13" s="62">
        <f t="shared" si="0"/>
        <v>3</v>
      </c>
    </row>
    <row r="14" spans="1:10" ht="15" customHeight="1" x14ac:dyDescent="0.3">
      <c r="A14" s="53" t="s">
        <v>44</v>
      </c>
      <c r="B14" s="53" t="s">
        <v>34</v>
      </c>
      <c r="C14" s="60">
        <v>45932</v>
      </c>
      <c r="D14" s="60">
        <v>46017</v>
      </c>
      <c r="E14" s="53" t="s">
        <v>99</v>
      </c>
      <c r="I14" s="61" t="s">
        <v>75</v>
      </c>
      <c r="J14" s="62">
        <f t="shared" si="0"/>
        <v>2</v>
      </c>
    </row>
    <row r="15" spans="1:10" ht="15" customHeight="1" x14ac:dyDescent="0.3">
      <c r="A15" s="53" t="s">
        <v>45</v>
      </c>
      <c r="B15" s="53" t="s">
        <v>42</v>
      </c>
      <c r="C15" s="60">
        <v>45932</v>
      </c>
      <c r="D15" s="60">
        <v>46010</v>
      </c>
      <c r="E15" s="53" t="s">
        <v>99</v>
      </c>
      <c r="I15" s="61" t="s">
        <v>76</v>
      </c>
      <c r="J15" s="62">
        <f t="shared" si="0"/>
        <v>2</v>
      </c>
    </row>
    <row r="16" spans="1:10" ht="15" customHeight="1" x14ac:dyDescent="0.3">
      <c r="A16" s="53" t="s">
        <v>49</v>
      </c>
      <c r="B16" s="53" t="s">
        <v>34</v>
      </c>
      <c r="C16" s="60">
        <v>45932</v>
      </c>
      <c r="D16" s="60">
        <v>46022</v>
      </c>
      <c r="E16" s="53" t="s">
        <v>99</v>
      </c>
    </row>
    <row r="17" spans="1:5" ht="15" customHeight="1" x14ac:dyDescent="0.3">
      <c r="A17" s="53" t="s">
        <v>52</v>
      </c>
      <c r="B17" s="53" t="s">
        <v>42</v>
      </c>
      <c r="C17" s="60">
        <v>45932</v>
      </c>
      <c r="D17" s="60">
        <v>45954</v>
      </c>
      <c r="E17" s="53" t="s">
        <v>99</v>
      </c>
    </row>
    <row r="18" spans="1:5" ht="15" customHeight="1" x14ac:dyDescent="0.3">
      <c r="A18" s="53" t="s">
        <v>45</v>
      </c>
      <c r="B18" s="54" t="s">
        <v>42</v>
      </c>
      <c r="C18" s="60">
        <v>45971</v>
      </c>
      <c r="D18" s="60">
        <v>45996</v>
      </c>
      <c r="E18" s="53" t="s">
        <v>95</v>
      </c>
    </row>
    <row r="19" spans="1:5" ht="15" customHeight="1" x14ac:dyDescent="0.3">
      <c r="A19" s="53" t="s">
        <v>35</v>
      </c>
      <c r="B19" s="54" t="s">
        <v>19</v>
      </c>
      <c r="C19" s="60">
        <v>45950</v>
      </c>
      <c r="D19" s="60">
        <v>46022</v>
      </c>
      <c r="E19" s="53" t="s">
        <v>100</v>
      </c>
    </row>
    <row r="20" spans="1:5" ht="15" customHeight="1" x14ac:dyDescent="0.3">
      <c r="A20" s="9" t="s">
        <v>54</v>
      </c>
      <c r="B20" s="53" t="s">
        <v>34</v>
      </c>
      <c r="C20" s="60">
        <v>45950</v>
      </c>
      <c r="D20" s="60">
        <v>46174</v>
      </c>
      <c r="E20" s="53" t="s">
        <v>100</v>
      </c>
    </row>
    <row r="21" spans="1:5" ht="15" customHeight="1" x14ac:dyDescent="0.3">
      <c r="A21" s="18" t="s">
        <v>54</v>
      </c>
      <c r="B21" s="53" t="s">
        <v>34</v>
      </c>
      <c r="C21" s="60">
        <v>45951</v>
      </c>
      <c r="D21" s="60">
        <v>46204</v>
      </c>
      <c r="E21" s="53" t="s">
        <v>100</v>
      </c>
    </row>
    <row r="22" spans="1:5" ht="15" customHeight="1" x14ac:dyDescent="0.3">
      <c r="A22" s="53" t="s">
        <v>35</v>
      </c>
      <c r="B22" s="54" t="s">
        <v>19</v>
      </c>
      <c r="C22" s="60">
        <v>45951</v>
      </c>
      <c r="D22" s="60">
        <v>46024</v>
      </c>
      <c r="E22" s="53" t="s">
        <v>100</v>
      </c>
    </row>
    <row r="23" spans="1:5" ht="15" customHeight="1" x14ac:dyDescent="0.3">
      <c r="A23" s="53" t="s">
        <v>44</v>
      </c>
      <c r="B23" s="53" t="s">
        <v>42</v>
      </c>
      <c r="C23" s="60">
        <v>45951</v>
      </c>
      <c r="D23" s="53" t="s">
        <v>107</v>
      </c>
      <c r="E23" s="53" t="s">
        <v>100</v>
      </c>
    </row>
    <row r="24" spans="1:5" ht="15" customHeight="1" x14ac:dyDescent="0.3">
      <c r="A24" s="53" t="s">
        <v>52</v>
      </c>
      <c r="B24" s="53" t="s">
        <v>19</v>
      </c>
      <c r="C24" s="60">
        <v>45951</v>
      </c>
      <c r="D24" s="60">
        <v>46043</v>
      </c>
      <c r="E24" s="53" t="s">
        <v>100</v>
      </c>
    </row>
    <row r="25" spans="1:5" ht="15" customHeight="1" x14ac:dyDescent="0.3">
      <c r="A25" s="53" t="s">
        <v>49</v>
      </c>
      <c r="B25" s="53" t="s">
        <v>42</v>
      </c>
      <c r="C25" s="60">
        <v>45951</v>
      </c>
      <c r="D25" s="60">
        <v>46024</v>
      </c>
      <c r="E25" s="53" t="s">
        <v>100</v>
      </c>
    </row>
    <row r="26" spans="1:5" ht="15" customHeight="1" x14ac:dyDescent="0.3">
      <c r="A26" s="53" t="s">
        <v>44</v>
      </c>
      <c r="B26" s="53" t="s">
        <v>42</v>
      </c>
      <c r="C26" s="60">
        <v>45952</v>
      </c>
      <c r="D26" s="53" t="s">
        <v>107</v>
      </c>
      <c r="E26" s="53" t="s">
        <v>100</v>
      </c>
    </row>
    <row r="27" spans="1:5" ht="15" customHeight="1" x14ac:dyDescent="0.3">
      <c r="A27" s="53" t="s">
        <v>39</v>
      </c>
      <c r="B27" s="53" t="s">
        <v>34</v>
      </c>
      <c r="C27" s="60">
        <v>45952</v>
      </c>
      <c r="D27" s="60">
        <v>46003</v>
      </c>
      <c r="E27" s="53" t="s">
        <v>100</v>
      </c>
    </row>
    <row r="28" spans="1:5" ht="15" customHeight="1" x14ac:dyDescent="0.3">
      <c r="A28" s="53" t="s">
        <v>52</v>
      </c>
      <c r="B28" s="54" t="s">
        <v>19</v>
      </c>
      <c r="C28" s="60">
        <v>45953</v>
      </c>
      <c r="D28" s="60">
        <v>46045</v>
      </c>
      <c r="E28" s="53" t="s">
        <v>100</v>
      </c>
    </row>
    <row r="29" spans="1:5" ht="15" customHeight="1" x14ac:dyDescent="0.3">
      <c r="A29" s="53" t="s">
        <v>75</v>
      </c>
      <c r="B29" s="54" t="s">
        <v>34</v>
      </c>
      <c r="C29" s="60">
        <v>46011</v>
      </c>
      <c r="D29" s="60">
        <v>46049</v>
      </c>
      <c r="E29" s="53" t="s">
        <v>95</v>
      </c>
    </row>
    <row r="30" spans="1:5" ht="15" customHeight="1" x14ac:dyDescent="0.3">
      <c r="A30" s="53" t="s">
        <v>35</v>
      </c>
      <c r="B30" s="54" t="s">
        <v>19</v>
      </c>
      <c r="C30" s="60">
        <v>46016</v>
      </c>
      <c r="D30" s="60">
        <v>46041</v>
      </c>
      <c r="E30" s="53" t="s">
        <v>101</v>
      </c>
    </row>
    <row r="31" spans="1:5" ht="15" customHeight="1" x14ac:dyDescent="0.3">
      <c r="A31" s="53" t="s">
        <v>39</v>
      </c>
      <c r="B31" s="54" t="s">
        <v>34</v>
      </c>
      <c r="C31" s="60">
        <v>46016</v>
      </c>
      <c r="D31" s="60">
        <v>46036</v>
      </c>
      <c r="E31" s="53" t="s">
        <v>101</v>
      </c>
    </row>
    <row r="32" spans="1:5" ht="15" customHeight="1" x14ac:dyDescent="0.3">
      <c r="A32" s="53" t="s">
        <v>43</v>
      </c>
      <c r="B32" s="54" t="s">
        <v>19</v>
      </c>
      <c r="C32" s="60">
        <v>46016</v>
      </c>
      <c r="D32" s="53"/>
      <c r="E32" s="53" t="s">
        <v>101</v>
      </c>
    </row>
    <row r="33" spans="1:5" ht="15" customHeight="1" x14ac:dyDescent="0.3">
      <c r="A33" s="53" t="s">
        <v>44</v>
      </c>
      <c r="B33" s="54" t="s">
        <v>42</v>
      </c>
      <c r="C33" s="60">
        <v>46016</v>
      </c>
      <c r="D33" s="53"/>
      <c r="E33" s="53" t="s">
        <v>101</v>
      </c>
    </row>
    <row r="34" spans="1:5" ht="15" customHeight="1" x14ac:dyDescent="0.3">
      <c r="A34" s="53" t="s">
        <v>45</v>
      </c>
      <c r="B34" s="54" t="s">
        <v>34</v>
      </c>
      <c r="C34" s="60">
        <v>46016</v>
      </c>
      <c r="D34" s="53"/>
      <c r="E34" s="53" t="s">
        <v>101</v>
      </c>
    </row>
    <row r="35" spans="1:5" ht="15" customHeight="1" x14ac:dyDescent="0.3">
      <c r="A35" s="53" t="s">
        <v>54</v>
      </c>
      <c r="B35" s="9" t="s">
        <v>42</v>
      </c>
      <c r="C35" s="60">
        <v>46016</v>
      </c>
      <c r="D35" s="60">
        <v>46235</v>
      </c>
      <c r="E35" s="53" t="s">
        <v>101</v>
      </c>
    </row>
    <row r="36" spans="1:5" ht="15" customHeight="1" x14ac:dyDescent="0.3">
      <c r="A36" s="53" t="s">
        <v>74</v>
      </c>
      <c r="B36" s="9" t="s">
        <v>42</v>
      </c>
      <c r="C36" s="60">
        <v>46016</v>
      </c>
      <c r="D36" s="53"/>
      <c r="E36" s="53" t="s">
        <v>101</v>
      </c>
    </row>
    <row r="37" spans="1:5" ht="15" customHeight="1" x14ac:dyDescent="0.3">
      <c r="A37" s="53" t="s">
        <v>75</v>
      </c>
      <c r="B37" s="9" t="s">
        <v>19</v>
      </c>
      <c r="C37" s="60">
        <v>46016</v>
      </c>
      <c r="D37" s="60">
        <v>46069</v>
      </c>
      <c r="E37" s="53" t="s">
        <v>101</v>
      </c>
    </row>
    <row r="38" spans="1:5" ht="15" customHeight="1" x14ac:dyDescent="0.3">
      <c r="A38" s="53" t="s">
        <v>76</v>
      </c>
      <c r="B38" s="9" t="s">
        <v>19</v>
      </c>
      <c r="C38" s="60">
        <v>46016</v>
      </c>
      <c r="D38" s="60">
        <v>46036</v>
      </c>
      <c r="E38" s="53" t="s">
        <v>101</v>
      </c>
    </row>
    <row r="39" spans="1:5" ht="15" customHeight="1" x14ac:dyDescent="0.3">
      <c r="A39" s="53" t="s">
        <v>39</v>
      </c>
      <c r="B39" s="9" t="s">
        <v>34</v>
      </c>
      <c r="C39" s="70">
        <v>46023</v>
      </c>
      <c r="D39" s="9"/>
      <c r="E39" s="9" t="s">
        <v>102</v>
      </c>
    </row>
    <row r="40" spans="1:5" ht="15" customHeight="1" x14ac:dyDescent="0.3">
      <c r="A40" s="53" t="s">
        <v>44</v>
      </c>
      <c r="B40" s="9" t="s">
        <v>42</v>
      </c>
      <c r="C40" s="70">
        <v>46023</v>
      </c>
      <c r="D40" s="9"/>
      <c r="E40" s="9" t="s">
        <v>102</v>
      </c>
    </row>
    <row r="41" spans="1:5" ht="15" customHeight="1" x14ac:dyDescent="0.3">
      <c r="A41" s="53" t="s">
        <v>45</v>
      </c>
      <c r="B41" s="9" t="s">
        <v>34</v>
      </c>
      <c r="C41" s="70">
        <v>46023</v>
      </c>
      <c r="D41" s="62"/>
      <c r="E41" s="9" t="s">
        <v>102</v>
      </c>
    </row>
    <row r="42" spans="1:5" ht="15" customHeight="1" x14ac:dyDescent="0.3">
      <c r="A42" s="53" t="s">
        <v>52</v>
      </c>
      <c r="B42" s="9" t="s">
        <v>19</v>
      </c>
      <c r="C42" s="70">
        <v>46023</v>
      </c>
      <c r="D42" s="62"/>
      <c r="E42" s="9" t="s">
        <v>102</v>
      </c>
    </row>
    <row r="43" spans="1:5" ht="15" customHeight="1" x14ac:dyDescent="0.3">
      <c r="A43" s="53" t="s">
        <v>54</v>
      </c>
      <c r="B43" s="9" t="s">
        <v>42</v>
      </c>
      <c r="C43" s="70">
        <v>46023</v>
      </c>
      <c r="D43" s="72">
        <v>46266</v>
      </c>
      <c r="E43" s="9" t="s">
        <v>102</v>
      </c>
    </row>
    <row r="44" spans="1:5" ht="15" customHeight="1" x14ac:dyDescent="0.3">
      <c r="A44" s="53" t="s">
        <v>74</v>
      </c>
      <c r="B44" s="9" t="s">
        <v>42</v>
      </c>
      <c r="C44" s="70">
        <v>46023</v>
      </c>
      <c r="D44" s="62"/>
      <c r="E44" s="9" t="s">
        <v>102</v>
      </c>
    </row>
    <row r="45" spans="1:5" ht="15" customHeight="1" x14ac:dyDescent="0.3">
      <c r="A45" s="53" t="s">
        <v>76</v>
      </c>
      <c r="B45" s="9" t="s">
        <v>19</v>
      </c>
      <c r="C45" s="70">
        <v>46023</v>
      </c>
      <c r="E45" s="9" t="s">
        <v>102</v>
      </c>
    </row>
    <row r="46" spans="1:5" ht="15" customHeight="1" x14ac:dyDescent="0.3">
      <c r="A46" s="74" t="s">
        <v>35</v>
      </c>
      <c r="B46" s="74" t="s">
        <v>42</v>
      </c>
      <c r="C46" s="72">
        <v>46037</v>
      </c>
      <c r="D46" s="74"/>
      <c r="E46" s="74" t="s">
        <v>103</v>
      </c>
    </row>
    <row r="47" spans="1:5" ht="15" customHeight="1" x14ac:dyDescent="0.3">
      <c r="A47" s="74" t="s">
        <v>75</v>
      </c>
      <c r="B47" s="74" t="s">
        <v>19</v>
      </c>
      <c r="C47" s="72">
        <v>46037</v>
      </c>
      <c r="D47" s="74"/>
      <c r="E47" s="74" t="s">
        <v>103</v>
      </c>
    </row>
    <row r="48" spans="1:5" ht="15" customHeight="1" x14ac:dyDescent="0.3">
      <c r="A48" s="74" t="s">
        <v>35</v>
      </c>
      <c r="B48" s="74" t="s">
        <v>42</v>
      </c>
      <c r="C48" s="72">
        <v>46038</v>
      </c>
      <c r="D48" s="74"/>
      <c r="E48" s="74" t="s">
        <v>104</v>
      </c>
    </row>
    <row r="49" spans="1:5" ht="15" customHeight="1" x14ac:dyDescent="0.3">
      <c r="A49" s="74" t="s">
        <v>54</v>
      </c>
      <c r="B49" s="74" t="s">
        <v>42</v>
      </c>
      <c r="C49" s="72">
        <v>46045</v>
      </c>
      <c r="D49" s="74"/>
      <c r="E49" s="74" t="s">
        <v>105</v>
      </c>
    </row>
    <row r="50" spans="1:5" ht="15" customHeight="1" x14ac:dyDescent="0.3">
      <c r="A50" s="74" t="s">
        <v>35</v>
      </c>
      <c r="B50" s="74" t="s">
        <v>19</v>
      </c>
      <c r="C50" s="72">
        <v>46048</v>
      </c>
      <c r="D50" s="73"/>
      <c r="E50" s="74" t="s">
        <v>106</v>
      </c>
    </row>
    <row r="51" spans="1:5" ht="15" customHeight="1" x14ac:dyDescent="0.3">
      <c r="A51" s="74" t="s">
        <v>43</v>
      </c>
      <c r="B51" s="74" t="s">
        <v>34</v>
      </c>
      <c r="C51" s="72">
        <v>46048</v>
      </c>
      <c r="D51" s="73"/>
      <c r="E51" s="74" t="s">
        <v>106</v>
      </c>
    </row>
    <row r="52" spans="1:5" ht="15" customHeight="1" x14ac:dyDescent="0.3">
      <c r="A52" s="74" t="s">
        <v>44</v>
      </c>
      <c r="B52" s="74" t="s">
        <v>42</v>
      </c>
      <c r="C52" s="72">
        <v>46048</v>
      </c>
      <c r="D52" s="73"/>
      <c r="E52" s="74" t="s">
        <v>106</v>
      </c>
    </row>
    <row r="53" spans="1:5" ht="15" customHeight="1" x14ac:dyDescent="0.3">
      <c r="A53" s="74" t="s">
        <v>49</v>
      </c>
      <c r="B53" s="74" t="s">
        <v>19</v>
      </c>
      <c r="C53" s="72">
        <v>46048</v>
      </c>
      <c r="D53" s="73"/>
      <c r="E53" s="74" t="s">
        <v>106</v>
      </c>
    </row>
    <row r="54" spans="1:5" ht="15" customHeight="1" x14ac:dyDescent="0.3">
      <c r="A54" s="74" t="s">
        <v>52</v>
      </c>
      <c r="B54" s="74" t="s">
        <v>34</v>
      </c>
      <c r="C54" s="72">
        <v>46048</v>
      </c>
      <c r="D54" s="73"/>
      <c r="E54" s="74" t="s">
        <v>106</v>
      </c>
    </row>
    <row r="55" spans="1:5" ht="15" customHeight="1" x14ac:dyDescent="0.3">
      <c r="A55" s="74" t="s">
        <v>74</v>
      </c>
      <c r="B55" s="74" t="s">
        <v>42</v>
      </c>
      <c r="C55" s="72">
        <v>46048</v>
      </c>
      <c r="D55" s="73"/>
      <c r="E55" s="74" t="s">
        <v>106</v>
      </c>
    </row>
    <row r="56" spans="1:5" ht="15" customHeight="1" x14ac:dyDescent="0.3">
      <c r="A56" s="74" t="s">
        <v>75</v>
      </c>
      <c r="B56" s="74" t="s">
        <v>19</v>
      </c>
      <c r="C56" s="72">
        <v>46048</v>
      </c>
      <c r="D56" s="73"/>
      <c r="E56" s="74" t="s">
        <v>106</v>
      </c>
    </row>
    <row r="57" spans="1:5" ht="15" customHeight="1" x14ac:dyDescent="0.3">
      <c r="A57" s="74" t="s">
        <v>76</v>
      </c>
      <c r="B57" s="74" t="s">
        <v>19</v>
      </c>
      <c r="C57" s="72">
        <v>46048</v>
      </c>
      <c r="D57" s="73"/>
      <c r="E57" s="74" t="s">
        <v>106</v>
      </c>
    </row>
    <row r="58" spans="1:5" ht="15" customHeight="1" x14ac:dyDescent="0.3">
      <c r="A58" s="62"/>
      <c r="B58" s="62"/>
      <c r="C58" s="62"/>
      <c r="D58" s="62"/>
      <c r="E58" s="62"/>
    </row>
    <row r="59" spans="1:5" ht="15" customHeight="1" x14ac:dyDescent="0.3">
      <c r="A59" s="62"/>
      <c r="B59" s="62"/>
      <c r="C59" s="62"/>
      <c r="D59" s="62"/>
      <c r="E59" s="62"/>
    </row>
    <row r="60" spans="1:5" ht="15" customHeight="1" x14ac:dyDescent="0.3">
      <c r="A60" s="62"/>
      <c r="B60" s="62"/>
      <c r="C60" s="62"/>
      <c r="D60" s="62"/>
      <c r="E60" s="62"/>
    </row>
    <row r="61" spans="1:5" ht="15" customHeight="1" x14ac:dyDescent="0.3">
      <c r="A61" s="62"/>
      <c r="B61" s="62"/>
      <c r="C61" s="62"/>
      <c r="D61" s="62"/>
      <c r="E61" s="62"/>
    </row>
    <row r="62" spans="1:5" ht="15" customHeight="1" x14ac:dyDescent="0.3">
      <c r="A62" s="62"/>
      <c r="B62" s="62"/>
      <c r="C62" s="62"/>
      <c r="D62" s="62"/>
      <c r="E62" s="62"/>
    </row>
    <row r="63" spans="1:5" ht="15" customHeight="1" x14ac:dyDescent="0.3">
      <c r="A63" s="62"/>
      <c r="B63" s="62"/>
      <c r="C63" s="62"/>
      <c r="D63" s="62"/>
      <c r="E63" s="62"/>
    </row>
    <row r="64" spans="1:5" ht="15" customHeight="1" x14ac:dyDescent="0.3">
      <c r="A64" s="62"/>
      <c r="B64" s="62"/>
      <c r="C64" s="62"/>
      <c r="D64" s="62"/>
      <c r="E64" s="62"/>
    </row>
    <row r="65" spans="1:5" ht="15" customHeight="1" x14ac:dyDescent="0.3">
      <c r="A65" s="62"/>
      <c r="B65" s="62"/>
      <c r="C65" s="62"/>
      <c r="D65" s="62"/>
      <c r="E65" s="62"/>
    </row>
    <row r="66" spans="1:5" ht="15" customHeight="1" x14ac:dyDescent="0.3">
      <c r="A66" s="62"/>
      <c r="B66" s="62"/>
      <c r="C66" s="62"/>
      <c r="D66" s="62"/>
      <c r="E66" s="62"/>
    </row>
    <row r="67" spans="1:5" ht="14.4" x14ac:dyDescent="0.3">
      <c r="A67" s="62"/>
      <c r="B67" s="62"/>
      <c r="C67" s="62"/>
      <c r="D67" s="62"/>
      <c r="E67" s="62"/>
    </row>
    <row r="68" spans="1:5" ht="14.4" x14ac:dyDescent="0.3">
      <c r="A68" s="62"/>
      <c r="B68" s="62"/>
      <c r="C68" s="62"/>
      <c r="D68" s="62"/>
      <c r="E68" s="62"/>
    </row>
    <row r="69" spans="1:5" ht="14.4" x14ac:dyDescent="0.3">
      <c r="A69" s="62"/>
      <c r="B69" s="62"/>
      <c r="C69" s="62"/>
      <c r="D69" s="62"/>
      <c r="E69" s="62"/>
    </row>
    <row r="70" spans="1:5" ht="14.4" x14ac:dyDescent="0.3">
      <c r="A70" s="62"/>
      <c r="B70" s="62"/>
      <c r="C70" s="62"/>
      <c r="D70" s="62"/>
      <c r="E70" s="62"/>
    </row>
    <row r="71" spans="1:5" ht="14.4" x14ac:dyDescent="0.3">
      <c r="A71" s="62"/>
      <c r="B71" s="62"/>
      <c r="C71" s="62"/>
      <c r="D71" s="62"/>
      <c r="E71" s="62"/>
    </row>
    <row r="72" spans="1:5" ht="14.4" x14ac:dyDescent="0.3">
      <c r="A72" s="62"/>
      <c r="B72" s="62"/>
      <c r="C72" s="62"/>
      <c r="D72" s="62"/>
      <c r="E72" s="62"/>
    </row>
    <row r="73" spans="1:5" ht="14.4" x14ac:dyDescent="0.3">
      <c r="A73" s="62"/>
      <c r="B73" s="62"/>
      <c r="C73" s="62"/>
      <c r="D73" s="62"/>
      <c r="E73" s="62"/>
    </row>
    <row r="74" spans="1:5" ht="14.4" x14ac:dyDescent="0.3">
      <c r="A74" s="62"/>
      <c r="B74" s="62"/>
      <c r="C74" s="62"/>
      <c r="D74" s="62"/>
      <c r="E74" s="62"/>
    </row>
    <row r="75" spans="1:5" ht="14.4" x14ac:dyDescent="0.3">
      <c r="A75" s="62"/>
      <c r="B75" s="62"/>
      <c r="C75" s="62"/>
      <c r="D75" s="62"/>
      <c r="E75" s="62"/>
    </row>
    <row r="76" spans="1:5" ht="14.4" x14ac:dyDescent="0.3">
      <c r="A76" s="62"/>
      <c r="B76" s="62"/>
      <c r="C76" s="62"/>
      <c r="D76" s="62"/>
      <c r="E76" s="62"/>
    </row>
    <row r="77" spans="1:5" ht="14.4" x14ac:dyDescent="0.3">
      <c r="A77" s="62"/>
      <c r="B77" s="62"/>
      <c r="C77" s="62"/>
      <c r="D77" s="62"/>
      <c r="E77" s="62"/>
    </row>
    <row r="78" spans="1:5" ht="14.4" x14ac:dyDescent="0.3">
      <c r="A78" s="62"/>
      <c r="B78" s="62"/>
      <c r="C78" s="62"/>
      <c r="D78" s="62"/>
      <c r="E78" s="62"/>
    </row>
    <row r="79" spans="1:5" ht="14.4" x14ac:dyDescent="0.3">
      <c r="A79" s="62"/>
      <c r="B79" s="62"/>
      <c r="C79" s="62"/>
      <c r="D79" s="62"/>
      <c r="E79" s="62"/>
    </row>
    <row r="80" spans="1:5" ht="14.4" x14ac:dyDescent="0.3">
      <c r="A80" s="62"/>
      <c r="B80" s="62"/>
      <c r="C80" s="62"/>
      <c r="D80" s="62"/>
      <c r="E80" s="62"/>
    </row>
    <row r="81" spans="1:5" ht="14.4" x14ac:dyDescent="0.3">
      <c r="A81" s="62"/>
      <c r="B81" s="62"/>
      <c r="C81" s="62"/>
      <c r="D81" s="62"/>
      <c r="E81" s="62"/>
    </row>
    <row r="82" spans="1:5" ht="14.4" x14ac:dyDescent="0.3">
      <c r="A82" s="62"/>
      <c r="B82" s="62"/>
      <c r="C82" s="62"/>
      <c r="D82" s="62"/>
      <c r="E82" s="62"/>
    </row>
    <row r="83" spans="1:5" ht="14.4" x14ac:dyDescent="0.3">
      <c r="A83" s="62"/>
      <c r="B83" s="62"/>
      <c r="C83" s="62"/>
      <c r="D83" s="62"/>
      <c r="E83" s="62"/>
    </row>
    <row r="84" spans="1:5" ht="14.4" x14ac:dyDescent="0.3">
      <c r="A84" s="62"/>
      <c r="B84" s="62"/>
      <c r="C84" s="62"/>
      <c r="D84" s="62"/>
      <c r="E84" s="62"/>
    </row>
    <row r="85" spans="1:5" ht="14.4" x14ac:dyDescent="0.3">
      <c r="A85" s="62"/>
      <c r="B85" s="62"/>
      <c r="C85" s="62"/>
      <c r="D85" s="62"/>
      <c r="E85" s="62"/>
    </row>
    <row r="86" spans="1:5" ht="14.4" x14ac:dyDescent="0.3">
      <c r="A86" s="62"/>
      <c r="B86" s="62"/>
      <c r="C86" s="62"/>
      <c r="D86" s="62"/>
      <c r="E86" s="62"/>
    </row>
    <row r="87" spans="1:5" ht="14.4" x14ac:dyDescent="0.3">
      <c r="A87" s="62"/>
      <c r="B87" s="62"/>
      <c r="C87" s="62"/>
      <c r="D87" s="62"/>
      <c r="E87" s="62"/>
    </row>
    <row r="88" spans="1:5" ht="14.4" x14ac:dyDescent="0.3">
      <c r="A88" s="62"/>
      <c r="B88" s="62"/>
      <c r="C88" s="62"/>
      <c r="D88" s="62"/>
      <c r="E88" s="62"/>
    </row>
    <row r="89" spans="1:5" ht="14.4" x14ac:dyDescent="0.3">
      <c r="A89" s="62"/>
      <c r="B89" s="62"/>
      <c r="C89" s="62"/>
      <c r="D89" s="62"/>
      <c r="E89" s="62"/>
    </row>
    <row r="90" spans="1:5" ht="14.4" x14ac:dyDescent="0.3">
      <c r="A90" s="62"/>
      <c r="B90" s="62"/>
      <c r="C90" s="62"/>
      <c r="D90" s="62"/>
      <c r="E90" s="62"/>
    </row>
    <row r="91" spans="1:5" ht="14.4" x14ac:dyDescent="0.3">
      <c r="A91" s="62"/>
      <c r="B91" s="62"/>
      <c r="C91" s="62"/>
      <c r="D91" s="62"/>
      <c r="E91" s="62"/>
    </row>
    <row r="92" spans="1:5" ht="14.4" x14ac:dyDescent="0.3">
      <c r="A92" s="62"/>
      <c r="B92" s="62"/>
      <c r="C92" s="62"/>
      <c r="D92" s="62"/>
      <c r="E92" s="62"/>
    </row>
    <row r="93" spans="1:5" ht="14.4" x14ac:dyDescent="0.3">
      <c r="A93" s="62"/>
      <c r="B93" s="62"/>
      <c r="C93" s="62"/>
      <c r="D93" s="62"/>
      <c r="E93" s="62"/>
    </row>
    <row r="94" spans="1:5" ht="14.4" x14ac:dyDescent="0.3">
      <c r="A94" s="62"/>
      <c r="B94" s="62"/>
      <c r="C94" s="62"/>
      <c r="D94" s="62"/>
      <c r="E94" s="62"/>
    </row>
    <row r="95" spans="1:5" ht="14.4" x14ac:dyDescent="0.3">
      <c r="A95" s="62"/>
      <c r="B95" s="62"/>
      <c r="C95" s="62"/>
      <c r="D95" s="62"/>
      <c r="E95" s="62"/>
    </row>
    <row r="96" spans="1:5" ht="14.4" x14ac:dyDescent="0.3">
      <c r="A96" s="62"/>
      <c r="B96" s="62"/>
      <c r="C96" s="62"/>
      <c r="D96" s="62"/>
      <c r="E96" s="62"/>
    </row>
    <row r="97" spans="1:5" ht="14.4" x14ac:dyDescent="0.3">
      <c r="A97" s="62"/>
      <c r="B97" s="62"/>
      <c r="C97" s="62"/>
      <c r="D97" s="62"/>
      <c r="E97" s="62"/>
    </row>
    <row r="98" spans="1:5" ht="14.4" x14ac:dyDescent="0.3">
      <c r="A98" s="62"/>
      <c r="B98" s="62"/>
      <c r="C98" s="62"/>
      <c r="D98" s="62"/>
      <c r="E98" s="62"/>
    </row>
    <row r="99" spans="1:5" ht="14.4" x14ac:dyDescent="0.3">
      <c r="A99" s="62"/>
      <c r="B99" s="62"/>
      <c r="C99" s="62"/>
      <c r="D99" s="62"/>
      <c r="E99" s="62"/>
    </row>
    <row r="100" spans="1:5" ht="14.4" x14ac:dyDescent="0.3">
      <c r="A100" s="62"/>
      <c r="B100" s="62"/>
      <c r="C100" s="62"/>
      <c r="D100" s="62"/>
      <c r="E100" s="62"/>
    </row>
    <row r="101" spans="1:5" ht="14.4" x14ac:dyDescent="0.3">
      <c r="A101" s="62"/>
      <c r="B101" s="62"/>
      <c r="C101" s="62"/>
      <c r="D101" s="62"/>
      <c r="E101" s="62"/>
    </row>
    <row r="102" spans="1:5" ht="14.4" x14ac:dyDescent="0.3">
      <c r="A102" s="62"/>
      <c r="B102" s="62"/>
      <c r="C102" s="62"/>
      <c r="D102" s="62"/>
      <c r="E102" s="62"/>
    </row>
    <row r="103" spans="1:5" ht="14.4" x14ac:dyDescent="0.3">
      <c r="A103" s="62"/>
      <c r="B103" s="62"/>
      <c r="C103" s="62"/>
      <c r="D103" s="62"/>
      <c r="E103" s="62"/>
    </row>
    <row r="104" spans="1:5" ht="14.4" x14ac:dyDescent="0.3">
      <c r="A104" s="62"/>
      <c r="B104" s="62"/>
      <c r="C104" s="62"/>
      <c r="D104" s="62"/>
      <c r="E104" s="62"/>
    </row>
    <row r="105" spans="1:5" ht="14.4" x14ac:dyDescent="0.3">
      <c r="A105" s="62"/>
      <c r="B105" s="62"/>
      <c r="C105" s="62"/>
      <c r="D105" s="62"/>
      <c r="E105" s="62"/>
    </row>
    <row r="106" spans="1:5" ht="14.4" x14ac:dyDescent="0.3">
      <c r="A106" s="62"/>
      <c r="B106" s="62"/>
      <c r="C106" s="62"/>
      <c r="D106" s="62"/>
      <c r="E106" s="62"/>
    </row>
    <row r="107" spans="1:5" ht="14.4" x14ac:dyDescent="0.3">
      <c r="A107" s="62"/>
      <c r="B107" s="62"/>
      <c r="C107" s="62"/>
      <c r="D107" s="62"/>
      <c r="E107" s="62"/>
    </row>
    <row r="108" spans="1:5" ht="14.4" x14ac:dyDescent="0.3">
      <c r="A108" s="62"/>
      <c r="B108" s="62"/>
      <c r="C108" s="62"/>
      <c r="D108" s="62"/>
      <c r="E108" s="62"/>
    </row>
    <row r="109" spans="1:5" ht="14.4" x14ac:dyDescent="0.3">
      <c r="A109" s="62"/>
      <c r="B109" s="62"/>
      <c r="C109" s="62"/>
      <c r="D109" s="62"/>
      <c r="E109" s="62"/>
    </row>
    <row r="110" spans="1:5" ht="14.4" x14ac:dyDescent="0.3">
      <c r="A110" s="62"/>
      <c r="B110" s="62"/>
      <c r="C110" s="62"/>
      <c r="D110" s="62"/>
      <c r="E110" s="62"/>
    </row>
    <row r="111" spans="1:5" ht="14.4" x14ac:dyDescent="0.3">
      <c r="A111" s="62"/>
      <c r="B111" s="62"/>
      <c r="C111" s="62"/>
      <c r="D111" s="62"/>
      <c r="E111" s="62"/>
    </row>
    <row r="112" spans="1:5" ht="14.4" x14ac:dyDescent="0.3">
      <c r="A112" s="62"/>
      <c r="B112" s="62"/>
      <c r="C112" s="62"/>
      <c r="D112" s="62"/>
      <c r="E112" s="62"/>
    </row>
    <row r="113" spans="1:5" ht="14.4" x14ac:dyDescent="0.3">
      <c r="A113" s="62"/>
      <c r="B113" s="62"/>
      <c r="C113" s="62"/>
      <c r="D113" s="62"/>
      <c r="E113" s="62"/>
    </row>
    <row r="114" spans="1:5" ht="14.4" x14ac:dyDescent="0.3">
      <c r="A114" s="62"/>
      <c r="B114" s="62"/>
      <c r="C114" s="62"/>
      <c r="D114" s="62"/>
      <c r="E114" s="62"/>
    </row>
    <row r="115" spans="1:5" ht="14.4" x14ac:dyDescent="0.3">
      <c r="A115" s="62"/>
      <c r="B115" s="62"/>
      <c r="C115" s="62"/>
      <c r="D115" s="62"/>
      <c r="E115" s="62"/>
    </row>
    <row r="116" spans="1:5" ht="14.4" x14ac:dyDescent="0.3">
      <c r="A116" s="62"/>
      <c r="B116" s="62"/>
      <c r="C116" s="62"/>
      <c r="D116" s="62"/>
      <c r="E116" s="62"/>
    </row>
    <row r="117" spans="1:5" ht="14.4" x14ac:dyDescent="0.3">
      <c r="A117" s="62"/>
      <c r="B117" s="62"/>
      <c r="C117" s="62"/>
      <c r="D117" s="62"/>
      <c r="E117" s="62"/>
    </row>
    <row r="118" spans="1:5" ht="14.4" x14ac:dyDescent="0.3">
      <c r="A118" s="62"/>
      <c r="B118" s="62"/>
      <c r="C118" s="62"/>
      <c r="D118" s="62"/>
      <c r="E118" s="62"/>
    </row>
    <row r="119" spans="1:5" ht="14.4" x14ac:dyDescent="0.3">
      <c r="A119" s="62"/>
      <c r="B119" s="62"/>
      <c r="C119" s="62"/>
      <c r="D119" s="62"/>
      <c r="E119" s="62"/>
    </row>
    <row r="120" spans="1:5" ht="14.4" x14ac:dyDescent="0.3">
      <c r="A120" s="62"/>
      <c r="B120" s="62"/>
      <c r="C120" s="62"/>
      <c r="D120" s="62"/>
      <c r="E120" s="62"/>
    </row>
    <row r="121" spans="1:5" ht="14.4" x14ac:dyDescent="0.3">
      <c r="A121" s="62"/>
      <c r="B121" s="62"/>
      <c r="C121" s="62"/>
      <c r="D121" s="62"/>
      <c r="E121" s="62"/>
    </row>
    <row r="122" spans="1:5" ht="14.4" x14ac:dyDescent="0.3">
      <c r="A122" s="62"/>
      <c r="B122" s="62"/>
      <c r="C122" s="62"/>
      <c r="D122" s="62"/>
      <c r="E122" s="62"/>
    </row>
    <row r="123" spans="1:5" ht="14.4" x14ac:dyDescent="0.3">
      <c r="A123" s="62"/>
      <c r="B123" s="62"/>
      <c r="C123" s="62"/>
      <c r="D123" s="62"/>
      <c r="E123" s="62"/>
    </row>
    <row r="124" spans="1:5" ht="14.4" x14ac:dyDescent="0.3">
      <c r="A124" s="62"/>
      <c r="B124" s="62"/>
      <c r="C124" s="62"/>
      <c r="D124" s="62"/>
      <c r="E124" s="62"/>
    </row>
    <row r="125" spans="1:5" ht="14.4" x14ac:dyDescent="0.3">
      <c r="A125" s="62"/>
      <c r="B125" s="62"/>
      <c r="C125" s="62"/>
      <c r="D125" s="62"/>
      <c r="E125" s="62"/>
    </row>
    <row r="126" spans="1:5" ht="14.4" x14ac:dyDescent="0.3">
      <c r="A126" s="62"/>
      <c r="B126" s="62"/>
      <c r="C126" s="62"/>
      <c r="D126" s="62"/>
      <c r="E126" s="62"/>
    </row>
    <row r="127" spans="1:5" ht="14.4" x14ac:dyDescent="0.3">
      <c r="A127" s="62"/>
      <c r="B127" s="62"/>
      <c r="C127" s="62"/>
      <c r="D127" s="62"/>
      <c r="E127" s="62"/>
    </row>
    <row r="128" spans="1:5" ht="14.4" x14ac:dyDescent="0.3">
      <c r="A128" s="62"/>
      <c r="B128" s="62"/>
      <c r="C128" s="62"/>
      <c r="D128" s="62"/>
      <c r="E128" s="62"/>
    </row>
    <row r="129" spans="1:5" ht="14.4" x14ac:dyDescent="0.3">
      <c r="A129" s="62"/>
      <c r="B129" s="62"/>
      <c r="C129" s="62"/>
      <c r="D129" s="62"/>
      <c r="E129" s="62"/>
    </row>
    <row r="130" spans="1:5" ht="14.4" x14ac:dyDescent="0.3">
      <c r="A130" s="62"/>
      <c r="B130" s="62"/>
      <c r="C130" s="62"/>
      <c r="D130" s="62"/>
      <c r="E130" s="62"/>
    </row>
    <row r="131" spans="1:5" ht="14.4" x14ac:dyDescent="0.3">
      <c r="A131" s="62"/>
      <c r="B131" s="62"/>
      <c r="C131" s="62"/>
      <c r="D131" s="62"/>
      <c r="E131" s="62"/>
    </row>
    <row r="132" spans="1:5" ht="14.4" x14ac:dyDescent="0.3">
      <c r="A132" s="62"/>
      <c r="B132" s="62"/>
      <c r="C132" s="62"/>
      <c r="D132" s="62"/>
      <c r="E132" s="62"/>
    </row>
    <row r="133" spans="1:5" ht="14.4" x14ac:dyDescent="0.3">
      <c r="A133" s="62"/>
      <c r="B133" s="62"/>
      <c r="C133" s="62"/>
      <c r="D133" s="62"/>
      <c r="E133" s="62"/>
    </row>
    <row r="134" spans="1:5" ht="14.4" x14ac:dyDescent="0.3">
      <c r="A134" s="62"/>
      <c r="B134" s="62"/>
      <c r="C134" s="62"/>
      <c r="D134" s="62"/>
      <c r="E134" s="62"/>
    </row>
    <row r="135" spans="1:5" ht="14.4" x14ac:dyDescent="0.3">
      <c r="A135" s="62"/>
      <c r="B135" s="62"/>
      <c r="C135" s="62"/>
      <c r="D135" s="62"/>
      <c r="E135" s="62"/>
    </row>
    <row r="136" spans="1:5" ht="14.4" x14ac:dyDescent="0.3">
      <c r="A136" s="62"/>
      <c r="B136" s="62"/>
      <c r="C136" s="62"/>
      <c r="D136" s="62"/>
      <c r="E136" s="62"/>
    </row>
    <row r="137" spans="1:5" ht="14.4" x14ac:dyDescent="0.3">
      <c r="A137" s="62"/>
      <c r="B137" s="62"/>
      <c r="C137" s="62"/>
      <c r="D137" s="62"/>
      <c r="E137" s="62"/>
    </row>
    <row r="138" spans="1:5" ht="14.4" x14ac:dyDescent="0.3">
      <c r="A138" s="62"/>
      <c r="B138" s="62"/>
      <c r="C138" s="62"/>
      <c r="D138" s="62"/>
      <c r="E138" s="62"/>
    </row>
    <row r="139" spans="1:5" ht="14.4" x14ac:dyDescent="0.3">
      <c r="A139" s="62"/>
      <c r="B139" s="62"/>
      <c r="C139" s="62"/>
      <c r="D139" s="62"/>
      <c r="E139" s="62"/>
    </row>
    <row r="140" spans="1:5" ht="14.4" x14ac:dyDescent="0.3">
      <c r="A140" s="62"/>
      <c r="B140" s="62"/>
      <c r="C140" s="62"/>
      <c r="D140" s="62"/>
      <c r="E140" s="62"/>
    </row>
    <row r="141" spans="1:5" ht="14.4" x14ac:dyDescent="0.3">
      <c r="A141" s="62"/>
      <c r="B141" s="62"/>
      <c r="C141" s="62"/>
      <c r="D141" s="62"/>
      <c r="E141" s="62"/>
    </row>
    <row r="142" spans="1:5" ht="14.4" x14ac:dyDescent="0.3">
      <c r="A142" s="62"/>
      <c r="B142" s="62"/>
      <c r="C142" s="62"/>
      <c r="D142" s="62"/>
      <c r="E142" s="62"/>
    </row>
    <row r="143" spans="1:5" ht="14.4" x14ac:dyDescent="0.3">
      <c r="A143" s="62"/>
      <c r="B143" s="62"/>
      <c r="C143" s="62"/>
      <c r="D143" s="62"/>
      <c r="E143" s="62"/>
    </row>
    <row r="144" spans="1:5" ht="14.4" x14ac:dyDescent="0.3">
      <c r="A144" s="62"/>
      <c r="B144" s="62"/>
      <c r="C144" s="62"/>
      <c r="D144" s="62"/>
      <c r="E144" s="62"/>
    </row>
    <row r="145" spans="1:5" ht="14.4" x14ac:dyDescent="0.3">
      <c r="A145" s="62"/>
      <c r="B145" s="62"/>
      <c r="C145" s="62"/>
      <c r="D145" s="62"/>
      <c r="E145" s="62"/>
    </row>
    <row r="146" spans="1:5" ht="14.4" x14ac:dyDescent="0.3">
      <c r="A146" s="62"/>
      <c r="B146" s="62"/>
      <c r="C146" s="62"/>
      <c r="D146" s="62"/>
      <c r="E146" s="62"/>
    </row>
    <row r="147" spans="1:5" ht="14.4" x14ac:dyDescent="0.3">
      <c r="A147" s="62"/>
      <c r="B147" s="62"/>
      <c r="C147" s="62"/>
      <c r="D147" s="62"/>
      <c r="E147" s="62"/>
    </row>
    <row r="148" spans="1:5" ht="14.4" x14ac:dyDescent="0.3">
      <c r="A148" s="62"/>
      <c r="B148" s="62"/>
      <c r="C148" s="62"/>
      <c r="D148" s="62"/>
      <c r="E148" s="62"/>
    </row>
    <row r="149" spans="1:5" ht="14.4" x14ac:dyDescent="0.3">
      <c r="A149" s="62"/>
      <c r="B149" s="62"/>
      <c r="C149" s="62"/>
      <c r="D149" s="62"/>
      <c r="E149" s="62"/>
    </row>
    <row r="150" spans="1:5" ht="14.4" x14ac:dyDescent="0.3">
      <c r="A150" s="62"/>
      <c r="B150" s="62"/>
      <c r="C150" s="62"/>
      <c r="D150" s="62"/>
      <c r="E150" s="62"/>
    </row>
    <row r="151" spans="1:5" ht="14.4" x14ac:dyDescent="0.3">
      <c r="A151" s="62"/>
      <c r="B151" s="62"/>
      <c r="C151" s="62"/>
      <c r="D151" s="62"/>
      <c r="E151" s="62"/>
    </row>
    <row r="152" spans="1:5" ht="14.4" x14ac:dyDescent="0.3">
      <c r="A152" s="62"/>
      <c r="B152" s="62"/>
      <c r="C152" s="62"/>
      <c r="D152" s="62"/>
      <c r="E152" s="62"/>
    </row>
    <row r="153" spans="1:5" ht="14.4" x14ac:dyDescent="0.3">
      <c r="A153" s="62"/>
      <c r="B153" s="62"/>
      <c r="C153" s="62"/>
      <c r="D153" s="62"/>
      <c r="E153" s="62"/>
    </row>
    <row r="154" spans="1:5" ht="14.4" x14ac:dyDescent="0.3">
      <c r="A154" s="62"/>
      <c r="B154" s="62"/>
      <c r="C154" s="62"/>
      <c r="D154" s="62"/>
      <c r="E154" s="62"/>
    </row>
    <row r="155" spans="1:5" ht="14.4" x14ac:dyDescent="0.3">
      <c r="A155" s="62"/>
      <c r="B155" s="62"/>
      <c r="C155" s="62"/>
      <c r="D155" s="62"/>
      <c r="E155" s="62"/>
    </row>
    <row r="156" spans="1:5" ht="14.4" x14ac:dyDescent="0.3">
      <c r="A156" s="62"/>
      <c r="B156" s="62"/>
      <c r="C156" s="62"/>
      <c r="D156" s="62"/>
      <c r="E156" s="62"/>
    </row>
    <row r="157" spans="1:5" ht="14.4" x14ac:dyDescent="0.3">
      <c r="A157" s="62"/>
      <c r="B157" s="62"/>
      <c r="C157" s="62"/>
      <c r="D157" s="62"/>
      <c r="E157" s="62"/>
    </row>
    <row r="158" spans="1:5" ht="14.4" x14ac:dyDescent="0.3">
      <c r="A158" s="62"/>
      <c r="B158" s="62"/>
      <c r="C158" s="62"/>
      <c r="D158" s="62"/>
      <c r="E158" s="62"/>
    </row>
    <row r="159" spans="1:5" ht="14.4" x14ac:dyDescent="0.3">
      <c r="A159" s="62"/>
      <c r="B159" s="62"/>
      <c r="C159" s="62"/>
      <c r="D159" s="62"/>
      <c r="E159" s="62"/>
    </row>
    <row r="160" spans="1:5" ht="14.4" x14ac:dyDescent="0.3">
      <c r="A160" s="62"/>
      <c r="B160" s="62"/>
      <c r="C160" s="62"/>
      <c r="D160" s="62"/>
      <c r="E160" s="62"/>
    </row>
    <row r="161" spans="1:5" ht="14.4" x14ac:dyDescent="0.3">
      <c r="A161" s="62"/>
      <c r="B161" s="62"/>
      <c r="C161" s="62"/>
      <c r="D161" s="62"/>
      <c r="E161" s="62"/>
    </row>
    <row r="162" spans="1:5" ht="14.4" x14ac:dyDescent="0.3">
      <c r="A162" s="62"/>
      <c r="B162" s="62"/>
      <c r="C162" s="62"/>
      <c r="D162" s="62"/>
      <c r="E162" s="62"/>
    </row>
    <row r="163" spans="1:5" ht="14.4" x14ac:dyDescent="0.3">
      <c r="A163" s="62"/>
      <c r="B163" s="62"/>
      <c r="C163" s="62"/>
      <c r="D163" s="62"/>
      <c r="E163" s="62"/>
    </row>
    <row r="164" spans="1:5" ht="14.4" x14ac:dyDescent="0.3">
      <c r="A164" s="62"/>
      <c r="B164" s="62"/>
      <c r="C164" s="62"/>
      <c r="D164" s="62"/>
      <c r="E164" s="62"/>
    </row>
    <row r="165" spans="1:5" ht="14.4" x14ac:dyDescent="0.3">
      <c r="A165" s="62"/>
      <c r="B165" s="62"/>
      <c r="C165" s="62"/>
      <c r="D165" s="62"/>
      <c r="E165" s="62"/>
    </row>
    <row r="166" spans="1:5" ht="14.4" x14ac:dyDescent="0.3">
      <c r="A166" s="62"/>
      <c r="B166" s="62"/>
      <c r="C166" s="62"/>
      <c r="D166" s="62"/>
      <c r="E166" s="62"/>
    </row>
    <row r="167" spans="1:5" ht="14.4" x14ac:dyDescent="0.3">
      <c r="A167" s="62"/>
      <c r="B167" s="62"/>
      <c r="C167" s="62"/>
      <c r="D167" s="62"/>
      <c r="E167" s="62"/>
    </row>
    <row r="168" spans="1:5" ht="14.4" x14ac:dyDescent="0.3">
      <c r="A168" s="62"/>
      <c r="B168" s="62"/>
      <c r="C168" s="62"/>
      <c r="D168" s="62"/>
      <c r="E168" s="62"/>
    </row>
    <row r="169" spans="1:5" ht="14.4" x14ac:dyDescent="0.3">
      <c r="A169" s="62"/>
      <c r="B169" s="62"/>
      <c r="C169" s="62"/>
      <c r="D169" s="62"/>
      <c r="E169" s="62"/>
    </row>
    <row r="170" spans="1:5" ht="14.4" x14ac:dyDescent="0.3">
      <c r="A170" s="62"/>
      <c r="B170" s="62"/>
      <c r="C170" s="62"/>
      <c r="D170" s="62"/>
      <c r="E170" s="62"/>
    </row>
    <row r="171" spans="1:5" ht="14.4" x14ac:dyDescent="0.3">
      <c r="A171" s="62"/>
      <c r="B171" s="62"/>
      <c r="C171" s="62"/>
      <c r="D171" s="62"/>
      <c r="E171" s="62"/>
    </row>
    <row r="172" spans="1:5" ht="14.4" x14ac:dyDescent="0.3">
      <c r="A172" s="62"/>
      <c r="B172" s="62"/>
      <c r="C172" s="62"/>
      <c r="D172" s="62"/>
      <c r="E172" s="62"/>
    </row>
    <row r="173" spans="1:5" ht="14.4" x14ac:dyDescent="0.3">
      <c r="A173" s="62"/>
      <c r="B173" s="62"/>
      <c r="C173" s="62"/>
      <c r="D173" s="62"/>
      <c r="E173" s="62"/>
    </row>
    <row r="174" spans="1:5" ht="14.4" x14ac:dyDescent="0.3">
      <c r="A174" s="62"/>
      <c r="B174" s="62"/>
      <c r="C174" s="62"/>
      <c r="D174" s="62"/>
      <c r="E174" s="62"/>
    </row>
    <row r="175" spans="1:5" ht="14.4" x14ac:dyDescent="0.3">
      <c r="A175" s="62"/>
      <c r="B175" s="62"/>
      <c r="C175" s="62"/>
      <c r="D175" s="62"/>
      <c r="E175" s="62"/>
    </row>
    <row r="176" spans="1:5" ht="14.4" x14ac:dyDescent="0.3">
      <c r="A176" s="62"/>
      <c r="B176" s="62"/>
      <c r="C176" s="62"/>
      <c r="D176" s="62"/>
      <c r="E176" s="62"/>
    </row>
    <row r="177" spans="1:5" ht="14.4" x14ac:dyDescent="0.3">
      <c r="A177" s="62"/>
      <c r="B177" s="62"/>
      <c r="C177" s="62"/>
      <c r="D177" s="62"/>
      <c r="E177" s="62"/>
    </row>
    <row r="178" spans="1:5" ht="14.4" x14ac:dyDescent="0.3">
      <c r="A178" s="62"/>
      <c r="B178" s="62"/>
      <c r="C178" s="62"/>
      <c r="D178" s="62"/>
      <c r="E178" s="62"/>
    </row>
    <row r="179" spans="1:5" ht="14.4" x14ac:dyDescent="0.3">
      <c r="A179" s="62"/>
      <c r="B179" s="62"/>
      <c r="C179" s="62"/>
      <c r="D179" s="62"/>
      <c r="E179" s="62"/>
    </row>
    <row r="180" spans="1:5" ht="14.4" x14ac:dyDescent="0.3">
      <c r="A180" s="62"/>
      <c r="B180" s="62"/>
      <c r="C180" s="62"/>
      <c r="D180" s="62"/>
      <c r="E180" s="62"/>
    </row>
    <row r="181" spans="1:5" ht="14.4" x14ac:dyDescent="0.3">
      <c r="A181" s="62"/>
      <c r="B181" s="62"/>
      <c r="C181" s="62"/>
      <c r="D181" s="62"/>
      <c r="E181" s="62"/>
    </row>
    <row r="182" spans="1:5" ht="14.4" x14ac:dyDescent="0.3">
      <c r="A182" s="62"/>
      <c r="B182" s="62"/>
      <c r="C182" s="62"/>
      <c r="D182" s="62"/>
      <c r="E182" s="62"/>
    </row>
    <row r="183" spans="1:5" ht="14.4" x14ac:dyDescent="0.3">
      <c r="A183" s="62"/>
      <c r="B183" s="62"/>
      <c r="C183" s="62"/>
      <c r="D183" s="62"/>
      <c r="E183" s="62"/>
    </row>
    <row r="184" spans="1:5" ht="14.4" x14ac:dyDescent="0.3">
      <c r="A184" s="62"/>
      <c r="B184" s="62"/>
      <c r="C184" s="62"/>
      <c r="D184" s="62"/>
      <c r="E184" s="62"/>
    </row>
    <row r="185" spans="1:5" ht="14.4" x14ac:dyDescent="0.3">
      <c r="A185" s="62"/>
      <c r="B185" s="62"/>
      <c r="C185" s="62"/>
      <c r="D185" s="62"/>
      <c r="E185" s="62"/>
    </row>
    <row r="186" spans="1:5" ht="14.4" x14ac:dyDescent="0.3">
      <c r="A186" s="62"/>
      <c r="B186" s="62"/>
      <c r="C186" s="62"/>
      <c r="D186" s="62"/>
      <c r="E186" s="62"/>
    </row>
    <row r="187" spans="1:5" ht="14.4" x14ac:dyDescent="0.3">
      <c r="A187" s="62"/>
      <c r="B187" s="62"/>
      <c r="C187" s="62"/>
      <c r="D187" s="62"/>
      <c r="E187" s="62"/>
    </row>
    <row r="188" spans="1:5" ht="14.4" x14ac:dyDescent="0.3">
      <c r="A188" s="62"/>
      <c r="B188" s="62"/>
      <c r="C188" s="62"/>
      <c r="D188" s="62"/>
      <c r="E188" s="62"/>
    </row>
    <row r="189" spans="1:5" ht="14.4" x14ac:dyDescent="0.3">
      <c r="A189" s="62"/>
      <c r="B189" s="62"/>
      <c r="C189" s="62"/>
      <c r="D189" s="62"/>
      <c r="E189" s="62"/>
    </row>
    <row r="190" spans="1:5" ht="14.4" x14ac:dyDescent="0.3">
      <c r="A190" s="62"/>
      <c r="B190" s="62"/>
      <c r="C190" s="62"/>
      <c r="D190" s="62"/>
      <c r="E190" s="62"/>
    </row>
    <row r="191" spans="1:5" ht="14.4" x14ac:dyDescent="0.3">
      <c r="A191" s="62"/>
      <c r="B191" s="62"/>
      <c r="C191" s="62"/>
      <c r="D191" s="62"/>
      <c r="E191" s="62"/>
    </row>
    <row r="192" spans="1:5" ht="14.4" x14ac:dyDescent="0.3">
      <c r="A192" s="62"/>
      <c r="B192" s="62"/>
      <c r="C192" s="62"/>
      <c r="D192" s="62"/>
      <c r="E192" s="62"/>
    </row>
    <row r="193" spans="1:5" ht="14.4" x14ac:dyDescent="0.3">
      <c r="A193" s="62"/>
      <c r="B193" s="62"/>
      <c r="C193" s="62"/>
      <c r="D193" s="62"/>
      <c r="E193" s="62"/>
    </row>
    <row r="194" spans="1:5" ht="14.4" x14ac:dyDescent="0.3">
      <c r="A194" s="62"/>
      <c r="B194" s="62"/>
      <c r="C194" s="62"/>
      <c r="D194" s="62"/>
      <c r="E194" s="62"/>
    </row>
    <row r="195" spans="1:5" ht="14.4" x14ac:dyDescent="0.3">
      <c r="A195" s="62"/>
      <c r="B195" s="62"/>
      <c r="C195" s="62"/>
      <c r="D195" s="62"/>
      <c r="E195" s="62"/>
    </row>
    <row r="196" spans="1:5" ht="14.4" x14ac:dyDescent="0.3">
      <c r="A196" s="62"/>
      <c r="B196" s="62"/>
      <c r="C196" s="62"/>
      <c r="D196" s="62"/>
      <c r="E196" s="62"/>
    </row>
    <row r="197" spans="1:5" ht="14.4" x14ac:dyDescent="0.3">
      <c r="A197" s="62"/>
      <c r="B197" s="62"/>
      <c r="C197" s="62"/>
      <c r="D197" s="62"/>
      <c r="E197" s="62"/>
    </row>
    <row r="198" spans="1:5" ht="14.4" x14ac:dyDescent="0.3">
      <c r="A198" s="62"/>
      <c r="B198" s="62"/>
      <c r="C198" s="62"/>
      <c r="D198" s="62"/>
      <c r="E198" s="62"/>
    </row>
    <row r="199" spans="1:5" ht="14.4" x14ac:dyDescent="0.3">
      <c r="A199" s="62"/>
      <c r="B199" s="62"/>
      <c r="C199" s="62"/>
      <c r="D199" s="62"/>
      <c r="E199" s="62"/>
    </row>
    <row r="200" spans="1:5" ht="14.4" x14ac:dyDescent="0.3">
      <c r="A200" s="62"/>
      <c r="B200" s="62"/>
      <c r="C200" s="62"/>
      <c r="D200" s="62"/>
      <c r="E200" s="62"/>
    </row>
    <row r="201" spans="1:5" ht="14.4" x14ac:dyDescent="0.3">
      <c r="A201" s="62"/>
      <c r="B201" s="62"/>
      <c r="C201" s="62"/>
      <c r="D201" s="62"/>
      <c r="E201" s="62"/>
    </row>
    <row r="202" spans="1:5" ht="14.4" x14ac:dyDescent="0.3">
      <c r="A202" s="62"/>
      <c r="B202" s="62"/>
      <c r="C202" s="62"/>
      <c r="D202" s="62"/>
      <c r="E202" s="62"/>
    </row>
    <row r="203" spans="1:5" ht="14.4" x14ac:dyDescent="0.3">
      <c r="A203" s="62"/>
      <c r="B203" s="62"/>
      <c r="C203" s="62"/>
      <c r="D203" s="62"/>
      <c r="E203" s="62"/>
    </row>
    <row r="204" spans="1:5" ht="14.4" x14ac:dyDescent="0.3">
      <c r="A204" s="62"/>
      <c r="B204" s="62"/>
      <c r="C204" s="62"/>
      <c r="D204" s="62"/>
      <c r="E204" s="62"/>
    </row>
    <row r="205" spans="1:5" ht="14.4" x14ac:dyDescent="0.3">
      <c r="A205" s="62"/>
      <c r="B205" s="62"/>
      <c r="C205" s="62"/>
      <c r="D205" s="62"/>
      <c r="E205" s="62"/>
    </row>
    <row r="206" spans="1:5" ht="14.4" x14ac:dyDescent="0.3">
      <c r="A206" s="62"/>
      <c r="B206" s="62"/>
      <c r="C206" s="62"/>
      <c r="D206" s="62"/>
      <c r="E206" s="62"/>
    </row>
    <row r="207" spans="1:5" ht="14.4" x14ac:dyDescent="0.3">
      <c r="A207" s="62"/>
      <c r="B207" s="62"/>
      <c r="C207" s="62"/>
      <c r="D207" s="62"/>
      <c r="E207" s="62"/>
    </row>
    <row r="208" spans="1:5" ht="14.4" x14ac:dyDescent="0.3">
      <c r="A208" s="62"/>
      <c r="B208" s="62"/>
      <c r="C208" s="62"/>
      <c r="D208" s="62"/>
      <c r="E208" s="62"/>
    </row>
    <row r="209" spans="1:5" ht="14.4" x14ac:dyDescent="0.3">
      <c r="A209" s="62"/>
      <c r="B209" s="62"/>
      <c r="C209" s="62"/>
      <c r="D209" s="62"/>
      <c r="E209" s="62"/>
    </row>
    <row r="210" spans="1:5" ht="14.4" x14ac:dyDescent="0.3">
      <c r="A210" s="62"/>
      <c r="B210" s="62"/>
      <c r="C210" s="62"/>
      <c r="D210" s="62"/>
      <c r="E210" s="62"/>
    </row>
    <row r="211" spans="1:5" ht="14.4" x14ac:dyDescent="0.3">
      <c r="A211" s="62"/>
      <c r="B211" s="62"/>
      <c r="C211" s="62"/>
      <c r="D211" s="62"/>
      <c r="E211" s="62"/>
    </row>
    <row r="212" spans="1:5" ht="14.4" x14ac:dyDescent="0.3">
      <c r="A212" s="62"/>
      <c r="B212" s="62"/>
      <c r="C212" s="62"/>
      <c r="D212" s="62"/>
      <c r="E212" s="62"/>
    </row>
    <row r="213" spans="1:5" ht="14.4" x14ac:dyDescent="0.3">
      <c r="A213" s="62"/>
      <c r="B213" s="62"/>
      <c r="C213" s="62"/>
      <c r="D213" s="62"/>
      <c r="E213" s="62"/>
    </row>
    <row r="214" spans="1:5" ht="14.4" x14ac:dyDescent="0.3">
      <c r="A214" s="62"/>
      <c r="B214" s="62"/>
      <c r="C214" s="62"/>
      <c r="D214" s="62"/>
      <c r="E214" s="62"/>
    </row>
    <row r="215" spans="1:5" ht="14.4" x14ac:dyDescent="0.3">
      <c r="A215" s="62"/>
      <c r="B215" s="62"/>
      <c r="C215" s="62"/>
      <c r="D215" s="62"/>
      <c r="E215" s="62"/>
    </row>
    <row r="216" spans="1:5" ht="14.4" x14ac:dyDescent="0.3">
      <c r="A216" s="62"/>
      <c r="B216" s="62"/>
      <c r="C216" s="62"/>
      <c r="D216" s="62"/>
      <c r="E216" s="62"/>
    </row>
  </sheetData>
  <autoFilter ref="A1:E57" xr:uid="{A18B43C5-A335-4FC2-B2DC-879EE7A41516}"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Sep 25</vt:lpstr>
      <vt:lpstr>Oct 25</vt:lpstr>
      <vt:lpstr>Nov 25</vt:lpstr>
      <vt:lpstr>Dec 25</vt:lpstr>
      <vt:lpstr>Jan 26</vt:lpstr>
      <vt:lpstr>Feb 26</vt:lpstr>
      <vt:lpstr>Comp off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Sekar</dc:creator>
  <cp:keywords/>
  <dc:description/>
  <cp:lastModifiedBy>Shourjo Banerjee</cp:lastModifiedBy>
  <cp:revision/>
  <dcterms:created xsi:type="dcterms:W3CDTF">2015-06-05T18:17:20Z</dcterms:created>
  <dcterms:modified xsi:type="dcterms:W3CDTF">2026-02-01T01:10:49Z</dcterms:modified>
  <cp:category/>
  <cp:contentStatus/>
</cp:coreProperties>
</file>